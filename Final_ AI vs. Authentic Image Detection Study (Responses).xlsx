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<sst xmlns="http://schemas.openxmlformats.org/spreadsheetml/2006/main" count="1253" uniqueCount="58">
  <si>
    <t>Timestamp</t>
  </si>
  <si>
    <t>Score</t>
  </si>
  <si>
    <t>What is your current age group?</t>
  </si>
  <si>
    <t xml:space="preserve">Do you currently/ plan to invest money into financial instruments such as stocks, bonds, ETFs, etc? Even if your answer is no please feel free to fill out the rest of the questionnaire. </t>
  </si>
  <si>
    <t>How confident are you in your ability to distinguish between AI-generated and authentic images?</t>
  </si>
  <si>
    <t>Image Set 1: Identify the AI-Generated Image</t>
  </si>
  <si>
    <t>Image Set 2: Identify the AI-Generated Image</t>
  </si>
  <si>
    <t>Image Set 3: Identify the AI-Generated Image</t>
  </si>
  <si>
    <t>Image Set 4: Identify the AI-Generated Image</t>
  </si>
  <si>
    <t>Image Set 5: Identify the AI-Generated Image</t>
  </si>
  <si>
    <t>Image Set 6: Identify the AI-Generated Image</t>
  </si>
  <si>
    <t>Image Set 7: Identify the AI-Generated Image</t>
  </si>
  <si>
    <t>Image Set 8: Identify the AI-Generated Image</t>
  </si>
  <si>
    <t>Image Set 9: Identify the AI-Generated Image</t>
  </si>
  <si>
    <t>Image Set 10: Identify the AI-Generated Image</t>
  </si>
  <si>
    <t>18-24</t>
  </si>
  <si>
    <t>No</t>
  </si>
  <si>
    <t>correct</t>
  </si>
  <si>
    <t>incorrect</t>
  </si>
  <si>
    <t>Yes</t>
  </si>
  <si>
    <t>45-54</t>
  </si>
  <si>
    <t>25-34</t>
  </si>
  <si>
    <t>Under 18</t>
  </si>
  <si>
    <t>35-44</t>
  </si>
  <si>
    <t>65+</t>
  </si>
  <si>
    <t>55-64</t>
  </si>
  <si>
    <t>Image A</t>
  </si>
  <si>
    <t>Image C</t>
  </si>
  <si>
    <t>Image E</t>
  </si>
  <si>
    <t>Image H</t>
  </si>
  <si>
    <t>Image J</t>
  </si>
  <si>
    <t>Image K</t>
  </si>
  <si>
    <t>Image N</t>
  </si>
  <si>
    <t>Image O</t>
  </si>
  <si>
    <t>Image R</t>
  </si>
  <si>
    <t>Image S</t>
  </si>
  <si>
    <t>Image D</t>
  </si>
  <si>
    <t>Image L</t>
  </si>
  <si>
    <t>Image G</t>
  </si>
  <si>
    <t>Image P</t>
  </si>
  <si>
    <t>Image Q</t>
  </si>
  <si>
    <t>Overall Average Score</t>
  </si>
  <si>
    <t>Average Score (Investors)</t>
  </si>
  <si>
    <t>Average Score (Non-Investors)</t>
  </si>
  <si>
    <t>Image Set</t>
  </si>
  <si>
    <t>Average Score</t>
  </si>
  <si>
    <t>Set 1</t>
  </si>
  <si>
    <t>Set 2</t>
  </si>
  <si>
    <t>Set 3</t>
  </si>
  <si>
    <t>Set 4</t>
  </si>
  <si>
    <t>Set 5</t>
  </si>
  <si>
    <t>Set 6</t>
  </si>
  <si>
    <t>Set 7</t>
  </si>
  <si>
    <t>Set 8</t>
  </si>
  <si>
    <t>Set 9</t>
  </si>
  <si>
    <t>Set 10</t>
  </si>
  <si>
    <t>Confidence Level</t>
  </si>
  <si>
    <t>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</si>
</sst>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Font="1"/>
    <xf borderId="0" fillId="0" fontId="1" numFmtId="9" xfId="0" applyFont="1" applyNumberFormat="1"/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9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103" displayName="Form_Responses" name="Form_Responses" id="1">
  <tableColumns count="15">
    <tableColumn name="Timestamp" id="1"/>
    <tableColumn name="Score" id="2"/>
    <tableColumn name="What is your current age group?" id="3"/>
    <tableColumn name="Do you currently/ plan to invest money into financial instruments such as stocks, bonds, ETFs, etc? Even if your answer is no please feel free to fill out the rest of the questionnaire. " id="4"/>
    <tableColumn name="How confident are you in your ability to distinguish between AI-generated and authentic images?" id="5"/>
    <tableColumn name="Image Set 1: Identify the AI-Generated Image" id="6"/>
    <tableColumn name="Image Set 2: Identify the AI-Generated Image" id="7"/>
    <tableColumn name="Image Set 3: Identify the AI-Generated Image" id="8"/>
    <tableColumn name="Image Set 4: Identify the AI-Generated Image" id="9"/>
    <tableColumn name="Image Set 5: Identify the AI-Generated Image" id="10"/>
    <tableColumn name="Image Set 6: Identify the AI-Generated Image" id="11"/>
    <tableColumn name="Image Set 7: Identify the AI-Generated Image" id="12"/>
    <tableColumn name="Image Set 8: Identify the AI-Generated Image" id="13"/>
    <tableColumn name="Image Set 9: Identify the AI-Generated Image" id="14"/>
    <tableColumn name="Image Set 10: Identify the AI-Generated Image" id="1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8.25"/>
    <col customWidth="1" min="4" max="15" width="37.63"/>
    <col customWidth="1" min="16" max="2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.5" customHeight="1">
      <c r="A2" s="2">
        <v>46152.87019181713</v>
      </c>
      <c r="B2" s="3">
        <f t="shared" ref="B2:B100" si="1">COUNTIF(F2:O2, "correct")/10</f>
        <v>0.5</v>
      </c>
      <c r="C2" s="4" t="s">
        <v>15</v>
      </c>
      <c r="D2" s="4" t="s">
        <v>16</v>
      </c>
      <c r="E2" s="4">
        <v>5.0</v>
      </c>
      <c r="F2" s="4" t="s">
        <v>17</v>
      </c>
      <c r="G2" s="4" t="s">
        <v>18</v>
      </c>
      <c r="H2" s="4" t="s">
        <v>17</v>
      </c>
      <c r="I2" s="4" t="s">
        <v>18</v>
      </c>
      <c r="J2" s="4" t="s">
        <v>18</v>
      </c>
      <c r="K2" s="4" t="s">
        <v>18</v>
      </c>
      <c r="L2" s="4" t="s">
        <v>17</v>
      </c>
      <c r="M2" s="4" t="s">
        <v>17</v>
      </c>
      <c r="N2" s="4" t="s">
        <v>18</v>
      </c>
      <c r="O2" s="4" t="s">
        <v>17</v>
      </c>
    </row>
    <row r="3" ht="22.5" customHeight="1">
      <c r="A3" s="2">
        <v>46152.87491515046</v>
      </c>
      <c r="B3" s="3">
        <f t="shared" si="1"/>
        <v>0.6</v>
      </c>
      <c r="C3" s="4" t="s">
        <v>15</v>
      </c>
      <c r="D3" s="4" t="s">
        <v>19</v>
      </c>
      <c r="E3" s="4">
        <v>5.0</v>
      </c>
      <c r="F3" s="4" t="s">
        <v>17</v>
      </c>
      <c r="G3" s="4" t="s">
        <v>17</v>
      </c>
      <c r="H3" s="4" t="s">
        <v>18</v>
      </c>
      <c r="I3" s="4" t="s">
        <v>18</v>
      </c>
      <c r="J3" s="4" t="s">
        <v>18</v>
      </c>
      <c r="K3" s="4" t="s">
        <v>17</v>
      </c>
      <c r="L3" s="4" t="s">
        <v>17</v>
      </c>
      <c r="M3" s="4" t="s">
        <v>17</v>
      </c>
      <c r="N3" s="4" t="s">
        <v>18</v>
      </c>
      <c r="O3" s="4" t="s">
        <v>17</v>
      </c>
    </row>
    <row r="4" ht="22.5" customHeight="1">
      <c r="A4" s="2">
        <v>46152.87710164352</v>
      </c>
      <c r="B4" s="3">
        <f t="shared" si="1"/>
        <v>0.5</v>
      </c>
      <c r="C4" s="4" t="s">
        <v>15</v>
      </c>
      <c r="D4" s="4" t="s">
        <v>19</v>
      </c>
      <c r="E4" s="4">
        <v>1.0</v>
      </c>
      <c r="F4" s="4" t="s">
        <v>18</v>
      </c>
      <c r="G4" s="4" t="s">
        <v>18</v>
      </c>
      <c r="H4" s="4" t="s">
        <v>18</v>
      </c>
      <c r="I4" s="4" t="s">
        <v>18</v>
      </c>
      <c r="J4" s="4" t="s">
        <v>17</v>
      </c>
      <c r="K4" s="4" t="s">
        <v>17</v>
      </c>
      <c r="L4" s="4" t="s">
        <v>17</v>
      </c>
      <c r="M4" s="4" t="s">
        <v>17</v>
      </c>
      <c r="N4" s="4" t="s">
        <v>18</v>
      </c>
      <c r="O4" s="4" t="s">
        <v>17</v>
      </c>
    </row>
    <row r="5" ht="22.5" customHeight="1">
      <c r="A5" s="2">
        <v>46152.87838623843</v>
      </c>
      <c r="B5" s="3">
        <f t="shared" si="1"/>
        <v>0.5</v>
      </c>
      <c r="C5" s="4" t="s">
        <v>15</v>
      </c>
      <c r="D5" s="4" t="s">
        <v>19</v>
      </c>
      <c r="E5" s="4">
        <v>5.0</v>
      </c>
      <c r="F5" s="4" t="s">
        <v>18</v>
      </c>
      <c r="G5" s="4" t="s">
        <v>18</v>
      </c>
      <c r="H5" s="4" t="s">
        <v>17</v>
      </c>
      <c r="I5" s="4" t="s">
        <v>18</v>
      </c>
      <c r="J5" s="4" t="s">
        <v>18</v>
      </c>
      <c r="K5" s="4" t="s">
        <v>17</v>
      </c>
      <c r="L5" s="4" t="s">
        <v>18</v>
      </c>
      <c r="M5" s="4" t="s">
        <v>17</v>
      </c>
      <c r="N5" s="4" t="s">
        <v>17</v>
      </c>
      <c r="O5" s="4" t="s">
        <v>17</v>
      </c>
    </row>
    <row r="6" ht="22.5" customHeight="1">
      <c r="A6" s="2">
        <v>46152.87860401621</v>
      </c>
      <c r="B6" s="3">
        <f t="shared" si="1"/>
        <v>0.6</v>
      </c>
      <c r="C6" s="4" t="s">
        <v>15</v>
      </c>
      <c r="D6" s="4" t="s">
        <v>19</v>
      </c>
      <c r="E6" s="4">
        <v>6.0</v>
      </c>
      <c r="F6" s="4" t="s">
        <v>18</v>
      </c>
      <c r="G6" s="4" t="s">
        <v>18</v>
      </c>
      <c r="H6" s="4" t="s">
        <v>17</v>
      </c>
      <c r="I6" s="4" t="s">
        <v>18</v>
      </c>
      <c r="J6" s="4" t="s">
        <v>17</v>
      </c>
      <c r="K6" s="4" t="s">
        <v>17</v>
      </c>
      <c r="L6" s="4" t="s">
        <v>17</v>
      </c>
      <c r="M6" s="4" t="s">
        <v>17</v>
      </c>
      <c r="N6" s="4" t="s">
        <v>17</v>
      </c>
      <c r="O6" s="4" t="s">
        <v>18</v>
      </c>
    </row>
    <row r="7" ht="22.5" customHeight="1">
      <c r="A7" s="2">
        <v>46152.89113877315</v>
      </c>
      <c r="B7" s="3">
        <f t="shared" si="1"/>
        <v>0.5</v>
      </c>
      <c r="C7" s="4" t="s">
        <v>15</v>
      </c>
      <c r="D7" s="4" t="s">
        <v>19</v>
      </c>
      <c r="E7" s="4">
        <v>4.0</v>
      </c>
      <c r="F7" s="4" t="s">
        <v>18</v>
      </c>
      <c r="G7" s="4" t="s">
        <v>18</v>
      </c>
      <c r="H7" s="4" t="s">
        <v>18</v>
      </c>
      <c r="I7" s="4" t="s">
        <v>18</v>
      </c>
      <c r="J7" s="4" t="s">
        <v>17</v>
      </c>
      <c r="K7" s="4" t="s">
        <v>17</v>
      </c>
      <c r="L7" s="4" t="s">
        <v>17</v>
      </c>
      <c r="M7" s="4" t="s">
        <v>17</v>
      </c>
      <c r="N7" s="4" t="s">
        <v>18</v>
      </c>
      <c r="O7" s="4" t="s">
        <v>17</v>
      </c>
    </row>
    <row r="8" ht="22.5" customHeight="1">
      <c r="A8" s="2">
        <v>46152.89166115741</v>
      </c>
      <c r="B8" s="3">
        <f t="shared" si="1"/>
        <v>0.6</v>
      </c>
      <c r="C8" s="4" t="s">
        <v>20</v>
      </c>
      <c r="D8" s="4" t="s">
        <v>19</v>
      </c>
      <c r="E8" s="4">
        <v>2.0</v>
      </c>
      <c r="F8" s="4" t="s">
        <v>17</v>
      </c>
      <c r="G8" s="4" t="s">
        <v>18</v>
      </c>
      <c r="H8" s="4" t="s">
        <v>18</v>
      </c>
      <c r="I8" s="4" t="s">
        <v>17</v>
      </c>
      <c r="J8" s="4" t="s">
        <v>17</v>
      </c>
      <c r="K8" s="4" t="s">
        <v>18</v>
      </c>
      <c r="L8" s="4" t="s">
        <v>18</v>
      </c>
      <c r="M8" s="4" t="s">
        <v>17</v>
      </c>
      <c r="N8" s="4" t="s">
        <v>17</v>
      </c>
      <c r="O8" s="4" t="s">
        <v>17</v>
      </c>
    </row>
    <row r="9" ht="22.5" customHeight="1">
      <c r="A9" s="2">
        <v>46152.8932033912</v>
      </c>
      <c r="B9" s="3">
        <f t="shared" si="1"/>
        <v>0.6</v>
      </c>
      <c r="C9" s="4" t="s">
        <v>15</v>
      </c>
      <c r="D9" s="4" t="s">
        <v>16</v>
      </c>
      <c r="E9" s="4">
        <v>4.0</v>
      </c>
      <c r="F9" s="4" t="s">
        <v>18</v>
      </c>
      <c r="G9" s="4" t="s">
        <v>17</v>
      </c>
      <c r="H9" s="4" t="s">
        <v>17</v>
      </c>
      <c r="I9" s="4" t="s">
        <v>18</v>
      </c>
      <c r="J9" s="4" t="s">
        <v>17</v>
      </c>
      <c r="K9" s="4" t="s">
        <v>18</v>
      </c>
      <c r="L9" s="4" t="s">
        <v>17</v>
      </c>
      <c r="M9" s="4" t="s">
        <v>17</v>
      </c>
      <c r="N9" s="4" t="s">
        <v>18</v>
      </c>
      <c r="O9" s="4" t="s">
        <v>17</v>
      </c>
    </row>
    <row r="10" ht="22.5" customHeight="1">
      <c r="A10" s="2">
        <v>46152.89823153935</v>
      </c>
      <c r="B10" s="3">
        <f t="shared" si="1"/>
        <v>0.4</v>
      </c>
      <c r="C10" s="4" t="s">
        <v>15</v>
      </c>
      <c r="D10" s="4" t="s">
        <v>19</v>
      </c>
      <c r="E10" s="4">
        <v>4.0</v>
      </c>
      <c r="F10" s="4" t="s">
        <v>18</v>
      </c>
      <c r="G10" s="4" t="s">
        <v>17</v>
      </c>
      <c r="H10" s="4" t="s">
        <v>18</v>
      </c>
      <c r="I10" s="4" t="s">
        <v>18</v>
      </c>
      <c r="J10" s="4" t="s">
        <v>18</v>
      </c>
      <c r="K10" s="4" t="s">
        <v>18</v>
      </c>
      <c r="L10" s="4" t="s">
        <v>17</v>
      </c>
      <c r="M10" s="4" t="s">
        <v>17</v>
      </c>
      <c r="N10" s="4" t="s">
        <v>17</v>
      </c>
      <c r="O10" s="4" t="s">
        <v>18</v>
      </c>
    </row>
    <row r="11" ht="22.5" customHeight="1">
      <c r="A11" s="2">
        <v>46152.89840583333</v>
      </c>
      <c r="B11" s="3">
        <f t="shared" si="1"/>
        <v>0.7</v>
      </c>
      <c r="C11" s="4" t="s">
        <v>15</v>
      </c>
      <c r="D11" s="4" t="s">
        <v>19</v>
      </c>
      <c r="E11" s="4">
        <v>2.0</v>
      </c>
      <c r="F11" s="4" t="s">
        <v>18</v>
      </c>
      <c r="G11" s="4" t="s">
        <v>17</v>
      </c>
      <c r="H11" s="4" t="s">
        <v>18</v>
      </c>
      <c r="I11" s="4" t="s">
        <v>18</v>
      </c>
      <c r="J11" s="4" t="s">
        <v>17</v>
      </c>
      <c r="K11" s="4" t="s">
        <v>17</v>
      </c>
      <c r="L11" s="4" t="s">
        <v>17</v>
      </c>
      <c r="M11" s="4" t="s">
        <v>17</v>
      </c>
      <c r="N11" s="4" t="s">
        <v>17</v>
      </c>
      <c r="O11" s="4" t="s">
        <v>17</v>
      </c>
    </row>
    <row r="12" ht="22.5" customHeight="1">
      <c r="A12" s="2">
        <v>46152.89880275463</v>
      </c>
      <c r="B12" s="3">
        <f t="shared" si="1"/>
        <v>0.5</v>
      </c>
      <c r="C12" s="4" t="s">
        <v>15</v>
      </c>
      <c r="D12" s="4" t="s">
        <v>16</v>
      </c>
      <c r="E12" s="4">
        <v>3.0</v>
      </c>
      <c r="F12" s="4" t="s">
        <v>17</v>
      </c>
      <c r="G12" s="4" t="s">
        <v>18</v>
      </c>
      <c r="H12" s="4" t="s">
        <v>17</v>
      </c>
      <c r="I12" s="4" t="s">
        <v>18</v>
      </c>
      <c r="J12" s="4" t="s">
        <v>17</v>
      </c>
      <c r="K12" s="4" t="s">
        <v>18</v>
      </c>
      <c r="L12" s="4" t="s">
        <v>18</v>
      </c>
      <c r="M12" s="4" t="s">
        <v>17</v>
      </c>
      <c r="N12" s="4" t="s">
        <v>17</v>
      </c>
      <c r="O12" s="4" t="s">
        <v>18</v>
      </c>
    </row>
    <row r="13" ht="22.5" customHeight="1">
      <c r="A13" s="2">
        <v>46152.900357962964</v>
      </c>
      <c r="B13" s="3">
        <f t="shared" si="1"/>
        <v>0.4</v>
      </c>
      <c r="C13" s="4" t="s">
        <v>15</v>
      </c>
      <c r="D13" s="4" t="s">
        <v>19</v>
      </c>
      <c r="E13" s="4">
        <v>3.0</v>
      </c>
      <c r="F13" s="4" t="s">
        <v>18</v>
      </c>
      <c r="G13" s="4" t="s">
        <v>18</v>
      </c>
      <c r="H13" s="4" t="s">
        <v>18</v>
      </c>
      <c r="I13" s="4" t="s">
        <v>18</v>
      </c>
      <c r="J13" s="4" t="s">
        <v>17</v>
      </c>
      <c r="K13" s="4" t="s">
        <v>17</v>
      </c>
      <c r="L13" s="4" t="s">
        <v>18</v>
      </c>
      <c r="M13" s="4" t="s">
        <v>18</v>
      </c>
      <c r="N13" s="4" t="s">
        <v>17</v>
      </c>
      <c r="O13" s="4" t="s">
        <v>17</v>
      </c>
    </row>
    <row r="14" ht="22.5" customHeight="1">
      <c r="A14" s="2">
        <v>46152.900761689816</v>
      </c>
      <c r="B14" s="3">
        <f t="shared" si="1"/>
        <v>0.6</v>
      </c>
      <c r="C14" s="5"/>
      <c r="D14" s="5"/>
      <c r="E14" s="5"/>
      <c r="F14" s="4" t="s">
        <v>18</v>
      </c>
      <c r="G14" s="4" t="s">
        <v>18</v>
      </c>
      <c r="H14" s="4" t="s">
        <v>17</v>
      </c>
      <c r="I14" s="4" t="s">
        <v>18</v>
      </c>
      <c r="J14" s="4" t="s">
        <v>17</v>
      </c>
      <c r="K14" s="4" t="s">
        <v>17</v>
      </c>
      <c r="L14" s="4" t="s">
        <v>17</v>
      </c>
      <c r="M14" s="4" t="s">
        <v>17</v>
      </c>
      <c r="N14" s="4" t="s">
        <v>18</v>
      </c>
      <c r="O14" s="4" t="s">
        <v>17</v>
      </c>
    </row>
    <row r="15" ht="22.5" customHeight="1">
      <c r="A15" s="2">
        <v>46152.901996817134</v>
      </c>
      <c r="B15" s="3">
        <f t="shared" si="1"/>
        <v>0.6</v>
      </c>
      <c r="C15" s="4" t="s">
        <v>15</v>
      </c>
      <c r="D15" s="4" t="s">
        <v>16</v>
      </c>
      <c r="E15" s="4">
        <v>5.0</v>
      </c>
      <c r="F15" s="4" t="s">
        <v>18</v>
      </c>
      <c r="G15" s="4" t="s">
        <v>17</v>
      </c>
      <c r="H15" s="4" t="s">
        <v>17</v>
      </c>
      <c r="I15" s="4" t="s">
        <v>18</v>
      </c>
      <c r="J15" s="4" t="s">
        <v>18</v>
      </c>
      <c r="K15" s="4" t="s">
        <v>18</v>
      </c>
      <c r="L15" s="4" t="s">
        <v>17</v>
      </c>
      <c r="M15" s="4" t="s">
        <v>17</v>
      </c>
      <c r="N15" s="4" t="s">
        <v>17</v>
      </c>
      <c r="O15" s="4" t="s">
        <v>17</v>
      </c>
    </row>
    <row r="16" ht="22.5" customHeight="1">
      <c r="A16" s="2">
        <v>46152.90941800926</v>
      </c>
      <c r="B16" s="3">
        <f t="shared" si="1"/>
        <v>0.7</v>
      </c>
      <c r="C16" s="4" t="s">
        <v>15</v>
      </c>
      <c r="D16" s="4" t="s">
        <v>16</v>
      </c>
      <c r="E16" s="4">
        <v>4.0</v>
      </c>
      <c r="F16" s="4" t="s">
        <v>17</v>
      </c>
      <c r="G16" s="4" t="s">
        <v>17</v>
      </c>
      <c r="H16" s="4" t="s">
        <v>17</v>
      </c>
      <c r="I16" s="4" t="s">
        <v>18</v>
      </c>
      <c r="J16" s="4" t="s">
        <v>17</v>
      </c>
      <c r="K16" s="4" t="s">
        <v>18</v>
      </c>
      <c r="L16" s="4" t="s">
        <v>17</v>
      </c>
      <c r="M16" s="4" t="s">
        <v>17</v>
      </c>
      <c r="N16" s="4" t="s">
        <v>18</v>
      </c>
      <c r="O16" s="4" t="s">
        <v>17</v>
      </c>
    </row>
    <row r="17" ht="22.5" customHeight="1">
      <c r="A17" s="2">
        <v>46152.91195042824</v>
      </c>
      <c r="B17" s="3">
        <f t="shared" si="1"/>
        <v>0.7</v>
      </c>
      <c r="C17" s="4" t="s">
        <v>15</v>
      </c>
      <c r="D17" s="4" t="s">
        <v>19</v>
      </c>
      <c r="E17" s="4">
        <v>6.0</v>
      </c>
      <c r="F17" s="4" t="s">
        <v>18</v>
      </c>
      <c r="G17" s="4" t="s">
        <v>18</v>
      </c>
      <c r="H17" s="4" t="s">
        <v>17</v>
      </c>
      <c r="I17" s="4" t="s">
        <v>17</v>
      </c>
      <c r="J17" s="4" t="s">
        <v>17</v>
      </c>
      <c r="K17" s="4" t="s">
        <v>18</v>
      </c>
      <c r="L17" s="4" t="s">
        <v>17</v>
      </c>
      <c r="M17" s="4" t="s">
        <v>17</v>
      </c>
      <c r="N17" s="4" t="s">
        <v>17</v>
      </c>
      <c r="O17" s="4" t="s">
        <v>17</v>
      </c>
    </row>
    <row r="18" ht="22.5" customHeight="1">
      <c r="A18" s="2">
        <v>46152.91302978009</v>
      </c>
      <c r="B18" s="3">
        <f t="shared" si="1"/>
        <v>0.4</v>
      </c>
      <c r="C18" s="4" t="s">
        <v>15</v>
      </c>
      <c r="D18" s="4" t="s">
        <v>19</v>
      </c>
      <c r="E18" s="4">
        <v>5.0</v>
      </c>
      <c r="F18" s="4" t="s">
        <v>17</v>
      </c>
      <c r="G18" s="4" t="s">
        <v>18</v>
      </c>
      <c r="H18" s="4" t="s">
        <v>18</v>
      </c>
      <c r="I18" s="4" t="s">
        <v>18</v>
      </c>
      <c r="J18" s="4" t="s">
        <v>17</v>
      </c>
      <c r="K18" s="4" t="s">
        <v>18</v>
      </c>
      <c r="L18" s="4" t="s">
        <v>17</v>
      </c>
      <c r="M18" s="4" t="s">
        <v>17</v>
      </c>
      <c r="N18" s="4" t="s">
        <v>18</v>
      </c>
      <c r="O18" s="4" t="s">
        <v>18</v>
      </c>
    </row>
    <row r="19" ht="22.5" customHeight="1">
      <c r="A19" s="2">
        <v>46152.92497854166</v>
      </c>
      <c r="B19" s="3">
        <f t="shared" si="1"/>
        <v>0.7</v>
      </c>
      <c r="C19" s="4" t="s">
        <v>15</v>
      </c>
      <c r="D19" s="4" t="s">
        <v>19</v>
      </c>
      <c r="E19" s="4">
        <v>5.0</v>
      </c>
      <c r="F19" s="4" t="s">
        <v>18</v>
      </c>
      <c r="G19" s="4" t="s">
        <v>17</v>
      </c>
      <c r="H19" s="4" t="s">
        <v>18</v>
      </c>
      <c r="I19" s="4" t="s">
        <v>17</v>
      </c>
      <c r="J19" s="4" t="s">
        <v>17</v>
      </c>
      <c r="K19" s="4" t="s">
        <v>17</v>
      </c>
      <c r="L19" s="4" t="s">
        <v>18</v>
      </c>
      <c r="M19" s="4" t="s">
        <v>17</v>
      </c>
      <c r="N19" s="4" t="s">
        <v>17</v>
      </c>
      <c r="O19" s="4" t="s">
        <v>17</v>
      </c>
    </row>
    <row r="20" ht="22.5" customHeight="1">
      <c r="A20" s="2">
        <v>46152.92807930555</v>
      </c>
      <c r="B20" s="3">
        <f t="shared" si="1"/>
        <v>0.6</v>
      </c>
      <c r="C20" s="4" t="s">
        <v>15</v>
      </c>
      <c r="D20" s="4" t="s">
        <v>19</v>
      </c>
      <c r="E20" s="4">
        <v>5.0</v>
      </c>
      <c r="F20" s="4" t="s">
        <v>18</v>
      </c>
      <c r="G20" s="4" t="s">
        <v>18</v>
      </c>
      <c r="H20" s="4" t="s">
        <v>17</v>
      </c>
      <c r="I20" s="4" t="s">
        <v>17</v>
      </c>
      <c r="J20" s="4" t="s">
        <v>18</v>
      </c>
      <c r="K20" s="4" t="s">
        <v>18</v>
      </c>
      <c r="L20" s="4" t="s">
        <v>17</v>
      </c>
      <c r="M20" s="4" t="s">
        <v>17</v>
      </c>
      <c r="N20" s="4" t="s">
        <v>17</v>
      </c>
      <c r="O20" s="4" t="s">
        <v>17</v>
      </c>
    </row>
    <row r="21" ht="22.5" customHeight="1">
      <c r="A21" s="2">
        <v>46152.93041608796</v>
      </c>
      <c r="B21" s="3">
        <f t="shared" si="1"/>
        <v>0.6</v>
      </c>
      <c r="C21" s="4" t="s">
        <v>15</v>
      </c>
      <c r="D21" s="4" t="s">
        <v>16</v>
      </c>
      <c r="E21" s="4">
        <v>5.0</v>
      </c>
      <c r="F21" s="4" t="s">
        <v>18</v>
      </c>
      <c r="G21" s="4" t="s">
        <v>18</v>
      </c>
      <c r="H21" s="4" t="s">
        <v>17</v>
      </c>
      <c r="I21" s="4" t="s">
        <v>17</v>
      </c>
      <c r="J21" s="4" t="s">
        <v>17</v>
      </c>
      <c r="K21" s="4" t="s">
        <v>17</v>
      </c>
      <c r="L21" s="4" t="s">
        <v>18</v>
      </c>
      <c r="M21" s="4" t="s">
        <v>17</v>
      </c>
      <c r="N21" s="4" t="s">
        <v>17</v>
      </c>
      <c r="O21" s="4" t="s">
        <v>18</v>
      </c>
    </row>
    <row r="22" ht="22.5" customHeight="1">
      <c r="A22" s="2">
        <v>46152.9325262037</v>
      </c>
      <c r="B22" s="3">
        <f t="shared" si="1"/>
        <v>0.7</v>
      </c>
      <c r="C22" s="4" t="s">
        <v>21</v>
      </c>
      <c r="D22" s="4" t="s">
        <v>19</v>
      </c>
      <c r="E22" s="4">
        <v>2.0</v>
      </c>
      <c r="F22" s="4" t="s">
        <v>17</v>
      </c>
      <c r="G22" s="4" t="s">
        <v>17</v>
      </c>
      <c r="H22" s="4" t="s">
        <v>18</v>
      </c>
      <c r="I22" s="4" t="s">
        <v>17</v>
      </c>
      <c r="J22" s="4" t="s">
        <v>17</v>
      </c>
      <c r="K22" s="4" t="s">
        <v>17</v>
      </c>
      <c r="L22" s="4" t="s">
        <v>18</v>
      </c>
      <c r="M22" s="4" t="s">
        <v>17</v>
      </c>
      <c r="N22" s="4" t="s">
        <v>17</v>
      </c>
      <c r="O22" s="4" t="s">
        <v>18</v>
      </c>
    </row>
    <row r="23" ht="22.5" customHeight="1">
      <c r="A23" s="2">
        <v>46152.937933611116</v>
      </c>
      <c r="B23" s="3">
        <f t="shared" si="1"/>
        <v>0.4</v>
      </c>
      <c r="C23" s="4" t="s">
        <v>21</v>
      </c>
      <c r="D23" s="4" t="s">
        <v>16</v>
      </c>
      <c r="E23" s="4">
        <v>5.0</v>
      </c>
      <c r="F23" s="4" t="s">
        <v>18</v>
      </c>
      <c r="G23" s="4" t="s">
        <v>18</v>
      </c>
      <c r="H23" s="4" t="s">
        <v>18</v>
      </c>
      <c r="I23" s="4" t="s">
        <v>18</v>
      </c>
      <c r="J23" s="4" t="s">
        <v>17</v>
      </c>
      <c r="K23" s="4" t="s">
        <v>17</v>
      </c>
      <c r="L23" s="4" t="s">
        <v>17</v>
      </c>
      <c r="M23" s="4" t="s">
        <v>18</v>
      </c>
      <c r="N23" s="4" t="s">
        <v>18</v>
      </c>
      <c r="O23" s="4" t="s">
        <v>17</v>
      </c>
    </row>
    <row r="24" ht="22.5" customHeight="1">
      <c r="A24" s="2">
        <v>46152.947237430555</v>
      </c>
      <c r="B24" s="3">
        <f t="shared" si="1"/>
        <v>0.6</v>
      </c>
      <c r="C24" s="4" t="s">
        <v>21</v>
      </c>
      <c r="D24" s="4" t="s">
        <v>19</v>
      </c>
      <c r="E24" s="4">
        <v>7.0</v>
      </c>
      <c r="F24" s="4" t="s">
        <v>17</v>
      </c>
      <c r="G24" s="4" t="s">
        <v>17</v>
      </c>
      <c r="H24" s="4" t="s">
        <v>18</v>
      </c>
      <c r="I24" s="4" t="s">
        <v>18</v>
      </c>
      <c r="J24" s="4" t="s">
        <v>17</v>
      </c>
      <c r="K24" s="4" t="s">
        <v>18</v>
      </c>
      <c r="L24" s="4" t="s">
        <v>17</v>
      </c>
      <c r="M24" s="4" t="s">
        <v>17</v>
      </c>
      <c r="N24" s="4" t="s">
        <v>17</v>
      </c>
      <c r="O24" s="4" t="s">
        <v>18</v>
      </c>
    </row>
    <row r="25" ht="22.5" customHeight="1">
      <c r="A25" s="2">
        <v>46152.95173946759</v>
      </c>
      <c r="B25" s="3">
        <f t="shared" si="1"/>
        <v>0.7</v>
      </c>
      <c r="C25" s="4" t="s">
        <v>21</v>
      </c>
      <c r="D25" s="4" t="s">
        <v>16</v>
      </c>
      <c r="E25" s="4">
        <v>6.0</v>
      </c>
      <c r="F25" s="4" t="s">
        <v>18</v>
      </c>
      <c r="G25" s="4" t="s">
        <v>17</v>
      </c>
      <c r="H25" s="4" t="s">
        <v>17</v>
      </c>
      <c r="I25" s="4" t="s">
        <v>18</v>
      </c>
      <c r="J25" s="4" t="s">
        <v>17</v>
      </c>
      <c r="K25" s="4" t="s">
        <v>17</v>
      </c>
      <c r="L25" s="4" t="s">
        <v>17</v>
      </c>
      <c r="M25" s="4" t="s">
        <v>17</v>
      </c>
      <c r="N25" s="4" t="s">
        <v>18</v>
      </c>
      <c r="O25" s="4" t="s">
        <v>17</v>
      </c>
    </row>
    <row r="26" ht="22.5" customHeight="1">
      <c r="A26" s="2">
        <v>46152.960529606484</v>
      </c>
      <c r="B26" s="3">
        <f t="shared" si="1"/>
        <v>0.6</v>
      </c>
      <c r="C26" s="4" t="s">
        <v>15</v>
      </c>
      <c r="D26" s="4" t="s">
        <v>19</v>
      </c>
      <c r="E26" s="4">
        <v>4.0</v>
      </c>
      <c r="F26" s="4" t="s">
        <v>17</v>
      </c>
      <c r="G26" s="4" t="s">
        <v>18</v>
      </c>
      <c r="H26" s="4" t="s">
        <v>18</v>
      </c>
      <c r="I26" s="4" t="s">
        <v>18</v>
      </c>
      <c r="J26" s="4" t="s">
        <v>17</v>
      </c>
      <c r="K26" s="4" t="s">
        <v>17</v>
      </c>
      <c r="L26" s="4" t="s">
        <v>18</v>
      </c>
      <c r="M26" s="4" t="s">
        <v>17</v>
      </c>
      <c r="N26" s="4" t="s">
        <v>17</v>
      </c>
      <c r="O26" s="4" t="s">
        <v>17</v>
      </c>
    </row>
    <row r="27" ht="22.5" customHeight="1">
      <c r="A27" s="2">
        <v>46152.96429268518</v>
      </c>
      <c r="B27" s="3">
        <f t="shared" si="1"/>
        <v>0.6</v>
      </c>
      <c r="C27" s="4" t="s">
        <v>15</v>
      </c>
      <c r="D27" s="4" t="s">
        <v>19</v>
      </c>
      <c r="E27" s="4">
        <v>5.0</v>
      </c>
      <c r="F27" s="4" t="s">
        <v>17</v>
      </c>
      <c r="G27" s="4" t="s">
        <v>18</v>
      </c>
      <c r="H27" s="4" t="s">
        <v>18</v>
      </c>
      <c r="I27" s="4" t="s">
        <v>17</v>
      </c>
      <c r="J27" s="4" t="s">
        <v>17</v>
      </c>
      <c r="K27" s="4" t="s">
        <v>17</v>
      </c>
      <c r="L27" s="4" t="s">
        <v>17</v>
      </c>
      <c r="M27" s="4" t="s">
        <v>18</v>
      </c>
      <c r="N27" s="4" t="s">
        <v>17</v>
      </c>
      <c r="O27" s="4" t="s">
        <v>18</v>
      </c>
    </row>
    <row r="28" ht="22.5" customHeight="1">
      <c r="A28" s="2">
        <v>46152.96477298611</v>
      </c>
      <c r="B28" s="3">
        <f t="shared" si="1"/>
        <v>0.4</v>
      </c>
      <c r="C28" s="4" t="s">
        <v>15</v>
      </c>
      <c r="D28" s="4" t="s">
        <v>16</v>
      </c>
      <c r="E28" s="4">
        <v>5.0</v>
      </c>
      <c r="F28" s="4" t="s">
        <v>17</v>
      </c>
      <c r="G28" s="4" t="s">
        <v>18</v>
      </c>
      <c r="H28" s="4" t="s">
        <v>18</v>
      </c>
      <c r="I28" s="4" t="s">
        <v>18</v>
      </c>
      <c r="J28" s="4" t="s">
        <v>17</v>
      </c>
      <c r="K28" s="4" t="s">
        <v>17</v>
      </c>
      <c r="L28" s="4" t="s">
        <v>18</v>
      </c>
      <c r="M28" s="4" t="s">
        <v>17</v>
      </c>
      <c r="N28" s="4" t="s">
        <v>18</v>
      </c>
      <c r="O28" s="4" t="s">
        <v>18</v>
      </c>
    </row>
    <row r="29" ht="22.5" customHeight="1">
      <c r="A29" s="2">
        <v>46153.25554615741</v>
      </c>
      <c r="B29" s="3">
        <f t="shared" si="1"/>
        <v>0.5</v>
      </c>
      <c r="C29" s="4" t="s">
        <v>15</v>
      </c>
      <c r="D29" s="4" t="s">
        <v>19</v>
      </c>
      <c r="E29" s="4">
        <v>2.0</v>
      </c>
      <c r="F29" s="4" t="s">
        <v>17</v>
      </c>
      <c r="G29" s="4" t="s">
        <v>18</v>
      </c>
      <c r="H29" s="4" t="s">
        <v>18</v>
      </c>
      <c r="I29" s="4" t="s">
        <v>18</v>
      </c>
      <c r="J29" s="4" t="s">
        <v>17</v>
      </c>
      <c r="K29" s="4" t="s">
        <v>17</v>
      </c>
      <c r="L29" s="4" t="s">
        <v>17</v>
      </c>
      <c r="M29" s="4" t="s">
        <v>18</v>
      </c>
      <c r="N29" s="4" t="s">
        <v>18</v>
      </c>
      <c r="O29" s="4" t="s">
        <v>17</v>
      </c>
    </row>
    <row r="30" ht="22.5" customHeight="1">
      <c r="A30" s="2">
        <v>46153.385044525465</v>
      </c>
      <c r="B30" s="3">
        <f t="shared" si="1"/>
        <v>0.4</v>
      </c>
      <c r="C30" s="4" t="s">
        <v>15</v>
      </c>
      <c r="D30" s="4" t="s">
        <v>19</v>
      </c>
      <c r="E30" s="4">
        <v>5.0</v>
      </c>
      <c r="F30" s="4" t="s">
        <v>18</v>
      </c>
      <c r="G30" s="4" t="s">
        <v>18</v>
      </c>
      <c r="H30" s="4" t="s">
        <v>17</v>
      </c>
      <c r="I30" s="4" t="s">
        <v>18</v>
      </c>
      <c r="J30" s="4" t="s">
        <v>18</v>
      </c>
      <c r="K30" s="4" t="s">
        <v>18</v>
      </c>
      <c r="L30" s="4" t="s">
        <v>17</v>
      </c>
      <c r="M30" s="4" t="s">
        <v>17</v>
      </c>
      <c r="N30" s="4" t="s">
        <v>18</v>
      </c>
      <c r="O30" s="4" t="s">
        <v>17</v>
      </c>
    </row>
    <row r="31" ht="22.5" customHeight="1">
      <c r="A31" s="2">
        <v>46153.420489386575</v>
      </c>
      <c r="B31" s="3">
        <f t="shared" si="1"/>
        <v>0.4</v>
      </c>
      <c r="C31" s="4" t="s">
        <v>15</v>
      </c>
      <c r="D31" s="4" t="s">
        <v>19</v>
      </c>
      <c r="E31" s="4">
        <v>2.0</v>
      </c>
      <c r="F31" s="4" t="s">
        <v>18</v>
      </c>
      <c r="G31" s="4" t="s">
        <v>18</v>
      </c>
      <c r="H31" s="4" t="s">
        <v>17</v>
      </c>
      <c r="I31" s="4" t="s">
        <v>18</v>
      </c>
      <c r="J31" s="4" t="s">
        <v>17</v>
      </c>
      <c r="K31" s="4" t="s">
        <v>17</v>
      </c>
      <c r="L31" s="4" t="s">
        <v>18</v>
      </c>
      <c r="M31" s="4" t="s">
        <v>18</v>
      </c>
      <c r="N31" s="4" t="s">
        <v>18</v>
      </c>
      <c r="O31" s="4" t="s">
        <v>17</v>
      </c>
    </row>
    <row r="32" ht="22.5" customHeight="1">
      <c r="A32" s="2">
        <v>46153.42952392361</v>
      </c>
      <c r="B32" s="3">
        <f t="shared" si="1"/>
        <v>0.6</v>
      </c>
      <c r="C32" s="4" t="s">
        <v>15</v>
      </c>
      <c r="D32" s="4" t="s">
        <v>16</v>
      </c>
      <c r="E32" s="4">
        <v>5.0</v>
      </c>
      <c r="F32" s="4" t="s">
        <v>18</v>
      </c>
      <c r="G32" s="4" t="s">
        <v>18</v>
      </c>
      <c r="H32" s="4" t="s">
        <v>17</v>
      </c>
      <c r="I32" s="4" t="s">
        <v>18</v>
      </c>
      <c r="J32" s="4" t="s">
        <v>17</v>
      </c>
      <c r="K32" s="4" t="s">
        <v>18</v>
      </c>
      <c r="L32" s="4" t="s">
        <v>17</v>
      </c>
      <c r="M32" s="4" t="s">
        <v>17</v>
      </c>
      <c r="N32" s="4" t="s">
        <v>17</v>
      </c>
      <c r="O32" s="4" t="s">
        <v>17</v>
      </c>
    </row>
    <row r="33" ht="22.5" customHeight="1">
      <c r="A33" s="2">
        <v>46153.43270027778</v>
      </c>
      <c r="B33" s="3">
        <f t="shared" si="1"/>
        <v>0.5</v>
      </c>
      <c r="C33" s="4" t="s">
        <v>21</v>
      </c>
      <c r="D33" s="4" t="s">
        <v>16</v>
      </c>
      <c r="E33" s="4">
        <v>1.0</v>
      </c>
      <c r="F33" s="4" t="s">
        <v>17</v>
      </c>
      <c r="G33" s="4" t="s">
        <v>18</v>
      </c>
      <c r="H33" s="4" t="s">
        <v>17</v>
      </c>
      <c r="I33" s="4" t="s">
        <v>17</v>
      </c>
      <c r="J33" s="4" t="s">
        <v>18</v>
      </c>
      <c r="K33" s="4" t="s">
        <v>18</v>
      </c>
      <c r="L33" s="4" t="s">
        <v>18</v>
      </c>
      <c r="M33" s="4" t="s">
        <v>17</v>
      </c>
      <c r="N33" s="4" t="s">
        <v>18</v>
      </c>
      <c r="O33" s="4" t="s">
        <v>17</v>
      </c>
    </row>
    <row r="34" ht="22.5" customHeight="1">
      <c r="A34" s="2">
        <v>46153.432702418984</v>
      </c>
      <c r="B34" s="3">
        <f t="shared" si="1"/>
        <v>0.5</v>
      </c>
      <c r="C34" s="4" t="s">
        <v>22</v>
      </c>
      <c r="D34" s="4" t="s">
        <v>16</v>
      </c>
      <c r="E34" s="4">
        <v>4.0</v>
      </c>
      <c r="F34" s="4" t="s">
        <v>18</v>
      </c>
      <c r="G34" s="4" t="s">
        <v>18</v>
      </c>
      <c r="H34" s="4" t="s">
        <v>18</v>
      </c>
      <c r="I34" s="4" t="s">
        <v>17</v>
      </c>
      <c r="J34" s="4" t="s">
        <v>17</v>
      </c>
      <c r="K34" s="4" t="s">
        <v>18</v>
      </c>
      <c r="L34" s="4" t="s">
        <v>17</v>
      </c>
      <c r="M34" s="4" t="s">
        <v>17</v>
      </c>
      <c r="N34" s="4" t="s">
        <v>18</v>
      </c>
      <c r="O34" s="4" t="s">
        <v>17</v>
      </c>
    </row>
    <row r="35" ht="22.5" customHeight="1">
      <c r="A35" s="2">
        <v>46153.43682717593</v>
      </c>
      <c r="B35" s="3">
        <f t="shared" si="1"/>
        <v>0.3</v>
      </c>
      <c r="C35" s="4" t="s">
        <v>20</v>
      </c>
      <c r="D35" s="4" t="s">
        <v>19</v>
      </c>
      <c r="E35" s="4">
        <v>5.0</v>
      </c>
      <c r="F35" s="4" t="s">
        <v>18</v>
      </c>
      <c r="G35" s="4" t="s">
        <v>18</v>
      </c>
      <c r="H35" s="4" t="s">
        <v>18</v>
      </c>
      <c r="I35" s="4" t="s">
        <v>17</v>
      </c>
      <c r="J35" s="4" t="s">
        <v>17</v>
      </c>
      <c r="K35" s="4" t="s">
        <v>18</v>
      </c>
      <c r="L35" s="4" t="s">
        <v>18</v>
      </c>
      <c r="M35" s="4" t="s">
        <v>17</v>
      </c>
      <c r="N35" s="4" t="s">
        <v>18</v>
      </c>
      <c r="O35" s="4" t="s">
        <v>18</v>
      </c>
    </row>
    <row r="36" ht="22.5" customHeight="1">
      <c r="A36" s="2">
        <v>46153.44296349537</v>
      </c>
      <c r="B36" s="3">
        <f t="shared" si="1"/>
        <v>0.3</v>
      </c>
      <c r="C36" s="4" t="s">
        <v>20</v>
      </c>
      <c r="D36" s="4" t="s">
        <v>16</v>
      </c>
      <c r="E36" s="4">
        <v>5.0</v>
      </c>
      <c r="F36" s="4" t="s">
        <v>18</v>
      </c>
      <c r="G36" s="4" t="s">
        <v>18</v>
      </c>
      <c r="H36" s="4" t="s">
        <v>18</v>
      </c>
      <c r="I36" s="4" t="s">
        <v>18</v>
      </c>
      <c r="J36" s="4" t="s">
        <v>17</v>
      </c>
      <c r="K36" s="4" t="s">
        <v>17</v>
      </c>
      <c r="L36" s="4" t="s">
        <v>18</v>
      </c>
      <c r="M36" s="4" t="s">
        <v>17</v>
      </c>
      <c r="N36" s="4" t="s">
        <v>18</v>
      </c>
      <c r="O36" s="4" t="s">
        <v>18</v>
      </c>
    </row>
    <row r="37" ht="22.5" customHeight="1">
      <c r="A37" s="2">
        <v>46153.44407128472</v>
      </c>
      <c r="B37" s="3">
        <f t="shared" si="1"/>
        <v>0.8</v>
      </c>
      <c r="C37" s="4" t="s">
        <v>23</v>
      </c>
      <c r="D37" s="4" t="s">
        <v>19</v>
      </c>
      <c r="E37" s="4">
        <v>3.0</v>
      </c>
      <c r="F37" s="4" t="s">
        <v>17</v>
      </c>
      <c r="G37" s="4" t="s">
        <v>17</v>
      </c>
      <c r="H37" s="4" t="s">
        <v>17</v>
      </c>
      <c r="I37" s="4" t="s">
        <v>17</v>
      </c>
      <c r="J37" s="4" t="s">
        <v>17</v>
      </c>
      <c r="K37" s="4" t="s">
        <v>18</v>
      </c>
      <c r="L37" s="4" t="s">
        <v>17</v>
      </c>
      <c r="M37" s="4" t="s">
        <v>17</v>
      </c>
      <c r="N37" s="4" t="s">
        <v>18</v>
      </c>
      <c r="O37" s="4" t="s">
        <v>17</v>
      </c>
    </row>
    <row r="38" ht="22.5" customHeight="1">
      <c r="A38" s="2">
        <v>46153.46273532408</v>
      </c>
      <c r="B38" s="3">
        <f t="shared" si="1"/>
        <v>0.4</v>
      </c>
      <c r="C38" s="4" t="s">
        <v>22</v>
      </c>
      <c r="D38" s="4" t="s">
        <v>19</v>
      </c>
      <c r="E38" s="4">
        <v>4.0</v>
      </c>
      <c r="F38" s="4" t="s">
        <v>18</v>
      </c>
      <c r="G38" s="4" t="s">
        <v>18</v>
      </c>
      <c r="H38" s="4" t="s">
        <v>17</v>
      </c>
      <c r="I38" s="4" t="s">
        <v>17</v>
      </c>
      <c r="J38" s="4" t="s">
        <v>17</v>
      </c>
      <c r="K38" s="4" t="s">
        <v>18</v>
      </c>
      <c r="L38" s="4" t="s">
        <v>17</v>
      </c>
      <c r="M38" s="4" t="s">
        <v>18</v>
      </c>
      <c r="N38" s="4" t="s">
        <v>18</v>
      </c>
      <c r="O38" s="4" t="s">
        <v>18</v>
      </c>
    </row>
    <row r="39" ht="22.5" customHeight="1">
      <c r="A39" s="2">
        <v>46153.46870528936</v>
      </c>
      <c r="B39" s="3">
        <f t="shared" si="1"/>
        <v>0.8</v>
      </c>
      <c r="C39" s="4" t="s">
        <v>22</v>
      </c>
      <c r="D39" s="4" t="s">
        <v>16</v>
      </c>
      <c r="E39" s="4">
        <v>3.0</v>
      </c>
      <c r="F39" s="4" t="s">
        <v>17</v>
      </c>
      <c r="G39" s="4" t="s">
        <v>17</v>
      </c>
      <c r="H39" s="4" t="s">
        <v>17</v>
      </c>
      <c r="I39" s="4" t="s">
        <v>17</v>
      </c>
      <c r="J39" s="4" t="s">
        <v>17</v>
      </c>
      <c r="K39" s="4" t="s">
        <v>18</v>
      </c>
      <c r="L39" s="4" t="s">
        <v>17</v>
      </c>
      <c r="M39" s="4" t="s">
        <v>18</v>
      </c>
      <c r="N39" s="4" t="s">
        <v>17</v>
      </c>
      <c r="O39" s="4" t="s">
        <v>17</v>
      </c>
    </row>
    <row r="40" ht="22.5" customHeight="1">
      <c r="A40" s="2">
        <v>46153.509398622686</v>
      </c>
      <c r="B40" s="3">
        <f t="shared" si="1"/>
        <v>0.7</v>
      </c>
      <c r="C40" s="4" t="s">
        <v>15</v>
      </c>
      <c r="D40" s="4" t="s">
        <v>16</v>
      </c>
      <c r="E40" s="4">
        <v>7.0</v>
      </c>
      <c r="F40" s="4" t="s">
        <v>17</v>
      </c>
      <c r="G40" s="4" t="s">
        <v>18</v>
      </c>
      <c r="H40" s="4" t="s">
        <v>17</v>
      </c>
      <c r="I40" s="4" t="s">
        <v>18</v>
      </c>
      <c r="J40" s="4" t="s">
        <v>17</v>
      </c>
      <c r="K40" s="4" t="s">
        <v>18</v>
      </c>
      <c r="L40" s="4" t="s">
        <v>17</v>
      </c>
      <c r="M40" s="4" t="s">
        <v>17</v>
      </c>
      <c r="N40" s="4" t="s">
        <v>17</v>
      </c>
      <c r="O40" s="4" t="s">
        <v>17</v>
      </c>
    </row>
    <row r="41" ht="22.5" customHeight="1">
      <c r="A41" s="2">
        <v>46153.50979164352</v>
      </c>
      <c r="B41" s="3">
        <f t="shared" si="1"/>
        <v>0.6</v>
      </c>
      <c r="C41" s="4" t="s">
        <v>15</v>
      </c>
      <c r="D41" s="4" t="s">
        <v>16</v>
      </c>
      <c r="E41" s="4">
        <v>5.0</v>
      </c>
      <c r="F41" s="4" t="s">
        <v>17</v>
      </c>
      <c r="G41" s="4" t="s">
        <v>17</v>
      </c>
      <c r="H41" s="4" t="s">
        <v>18</v>
      </c>
      <c r="I41" s="4" t="s">
        <v>18</v>
      </c>
      <c r="J41" s="4" t="s">
        <v>17</v>
      </c>
      <c r="K41" s="4" t="s">
        <v>17</v>
      </c>
      <c r="L41" s="4" t="s">
        <v>17</v>
      </c>
      <c r="M41" s="4" t="s">
        <v>18</v>
      </c>
      <c r="N41" s="4" t="s">
        <v>18</v>
      </c>
      <c r="O41" s="4" t="s">
        <v>17</v>
      </c>
    </row>
    <row r="42" ht="22.5" customHeight="1">
      <c r="A42" s="2">
        <v>46153.50995263889</v>
      </c>
      <c r="B42" s="3">
        <f t="shared" si="1"/>
        <v>0.4</v>
      </c>
      <c r="C42" s="4" t="s">
        <v>15</v>
      </c>
      <c r="D42" s="4" t="s">
        <v>19</v>
      </c>
      <c r="E42" s="4">
        <v>4.0</v>
      </c>
      <c r="F42" s="4" t="s">
        <v>17</v>
      </c>
      <c r="G42" s="4" t="s">
        <v>17</v>
      </c>
      <c r="H42" s="4" t="s">
        <v>18</v>
      </c>
      <c r="I42" s="4" t="s">
        <v>18</v>
      </c>
      <c r="J42" s="4" t="s">
        <v>17</v>
      </c>
      <c r="K42" s="4" t="s">
        <v>18</v>
      </c>
      <c r="L42" s="4" t="s">
        <v>18</v>
      </c>
      <c r="M42" s="4" t="s">
        <v>17</v>
      </c>
      <c r="N42" s="4" t="s">
        <v>18</v>
      </c>
      <c r="O42" s="4" t="s">
        <v>18</v>
      </c>
    </row>
    <row r="43" ht="22.5" customHeight="1">
      <c r="A43" s="2">
        <v>46153.51015574074</v>
      </c>
      <c r="B43" s="3">
        <f t="shared" si="1"/>
        <v>0.5</v>
      </c>
      <c r="C43" s="4" t="s">
        <v>15</v>
      </c>
      <c r="D43" s="4" t="s">
        <v>16</v>
      </c>
      <c r="E43" s="4">
        <v>5.0</v>
      </c>
      <c r="F43" s="4" t="s">
        <v>18</v>
      </c>
      <c r="G43" s="4" t="s">
        <v>18</v>
      </c>
      <c r="H43" s="4" t="s">
        <v>18</v>
      </c>
      <c r="I43" s="4" t="s">
        <v>17</v>
      </c>
      <c r="J43" s="4" t="s">
        <v>18</v>
      </c>
      <c r="K43" s="4" t="s">
        <v>17</v>
      </c>
      <c r="L43" s="4" t="s">
        <v>17</v>
      </c>
      <c r="M43" s="4" t="s">
        <v>17</v>
      </c>
      <c r="N43" s="4" t="s">
        <v>18</v>
      </c>
      <c r="O43" s="4" t="s">
        <v>17</v>
      </c>
    </row>
    <row r="44" ht="22.5" customHeight="1">
      <c r="A44" s="2">
        <v>46153.51095672454</v>
      </c>
      <c r="B44" s="3">
        <f t="shared" si="1"/>
        <v>0.3</v>
      </c>
      <c r="C44" s="4" t="s">
        <v>15</v>
      </c>
      <c r="D44" s="4" t="s">
        <v>16</v>
      </c>
      <c r="E44" s="4">
        <v>4.0</v>
      </c>
      <c r="F44" s="4" t="s">
        <v>18</v>
      </c>
      <c r="G44" s="4" t="s">
        <v>18</v>
      </c>
      <c r="H44" s="4" t="s">
        <v>18</v>
      </c>
      <c r="I44" s="4" t="s">
        <v>18</v>
      </c>
      <c r="J44" s="4" t="s">
        <v>18</v>
      </c>
      <c r="K44" s="4" t="s">
        <v>18</v>
      </c>
      <c r="L44" s="4" t="s">
        <v>17</v>
      </c>
      <c r="M44" s="4" t="s">
        <v>17</v>
      </c>
      <c r="N44" s="4" t="s">
        <v>18</v>
      </c>
      <c r="O44" s="4" t="s">
        <v>17</v>
      </c>
    </row>
    <row r="45" ht="22.5" customHeight="1">
      <c r="A45" s="2">
        <v>46153.51117788194</v>
      </c>
      <c r="B45" s="3">
        <f t="shared" si="1"/>
        <v>0.6</v>
      </c>
      <c r="C45" s="4" t="s">
        <v>15</v>
      </c>
      <c r="D45" s="4" t="s">
        <v>16</v>
      </c>
      <c r="E45" s="4">
        <v>5.0</v>
      </c>
      <c r="F45" s="4" t="s">
        <v>18</v>
      </c>
      <c r="G45" s="4" t="s">
        <v>18</v>
      </c>
      <c r="H45" s="4" t="s">
        <v>18</v>
      </c>
      <c r="I45" s="4" t="s">
        <v>18</v>
      </c>
      <c r="J45" s="4" t="s">
        <v>17</v>
      </c>
      <c r="K45" s="4" t="s">
        <v>17</v>
      </c>
      <c r="L45" s="4" t="s">
        <v>17</v>
      </c>
      <c r="M45" s="4" t="s">
        <v>17</v>
      </c>
      <c r="N45" s="4" t="s">
        <v>17</v>
      </c>
      <c r="O45" s="4" t="s">
        <v>17</v>
      </c>
    </row>
    <row r="46" ht="22.5" customHeight="1">
      <c r="A46" s="2">
        <v>46153.51135665509</v>
      </c>
      <c r="B46" s="3">
        <f t="shared" si="1"/>
        <v>0.3</v>
      </c>
      <c r="C46" s="4" t="s">
        <v>15</v>
      </c>
      <c r="D46" s="4" t="s">
        <v>19</v>
      </c>
      <c r="E46" s="4">
        <v>5.0</v>
      </c>
      <c r="F46" s="4" t="s">
        <v>18</v>
      </c>
      <c r="G46" s="4" t="s">
        <v>18</v>
      </c>
      <c r="H46" s="4" t="s">
        <v>18</v>
      </c>
      <c r="I46" s="4" t="s">
        <v>18</v>
      </c>
      <c r="J46" s="4" t="s">
        <v>17</v>
      </c>
      <c r="K46" s="4" t="s">
        <v>18</v>
      </c>
      <c r="L46" s="4" t="s">
        <v>17</v>
      </c>
      <c r="M46" s="4" t="s">
        <v>18</v>
      </c>
      <c r="N46" s="4" t="s">
        <v>18</v>
      </c>
      <c r="O46" s="4" t="s">
        <v>17</v>
      </c>
    </row>
    <row r="47" ht="22.5" customHeight="1">
      <c r="A47" s="2">
        <v>46153.51156958334</v>
      </c>
      <c r="B47" s="3">
        <f t="shared" si="1"/>
        <v>0.8</v>
      </c>
      <c r="C47" s="4" t="s">
        <v>15</v>
      </c>
      <c r="D47" s="4" t="s">
        <v>19</v>
      </c>
      <c r="E47" s="4">
        <v>5.0</v>
      </c>
      <c r="F47" s="4" t="s">
        <v>17</v>
      </c>
      <c r="G47" s="4" t="s">
        <v>17</v>
      </c>
      <c r="H47" s="4" t="s">
        <v>17</v>
      </c>
      <c r="I47" s="4" t="s">
        <v>17</v>
      </c>
      <c r="J47" s="4" t="s">
        <v>18</v>
      </c>
      <c r="K47" s="4" t="s">
        <v>17</v>
      </c>
      <c r="L47" s="4" t="s">
        <v>17</v>
      </c>
      <c r="M47" s="4" t="s">
        <v>17</v>
      </c>
      <c r="N47" s="4" t="s">
        <v>18</v>
      </c>
      <c r="O47" s="4" t="s">
        <v>17</v>
      </c>
    </row>
    <row r="48" ht="22.5" customHeight="1">
      <c r="A48" s="2">
        <v>46153.51162601852</v>
      </c>
      <c r="B48" s="3">
        <f t="shared" si="1"/>
        <v>0.7</v>
      </c>
      <c r="C48" s="4" t="s">
        <v>15</v>
      </c>
      <c r="D48" s="4" t="s">
        <v>16</v>
      </c>
      <c r="E48" s="4">
        <v>4.0</v>
      </c>
      <c r="F48" s="4" t="s">
        <v>17</v>
      </c>
      <c r="G48" s="4" t="s">
        <v>18</v>
      </c>
      <c r="H48" s="4" t="s">
        <v>18</v>
      </c>
      <c r="I48" s="4" t="s">
        <v>17</v>
      </c>
      <c r="J48" s="4" t="s">
        <v>17</v>
      </c>
      <c r="K48" s="4" t="s">
        <v>18</v>
      </c>
      <c r="L48" s="4" t="s">
        <v>17</v>
      </c>
      <c r="M48" s="4" t="s">
        <v>17</v>
      </c>
      <c r="N48" s="4" t="s">
        <v>17</v>
      </c>
      <c r="O48" s="4" t="s">
        <v>17</v>
      </c>
    </row>
    <row r="49" ht="22.5" customHeight="1">
      <c r="A49" s="2">
        <v>46153.51178569444</v>
      </c>
      <c r="B49" s="3">
        <f t="shared" si="1"/>
        <v>0.7</v>
      </c>
      <c r="C49" s="4" t="s">
        <v>15</v>
      </c>
      <c r="D49" s="4" t="s">
        <v>16</v>
      </c>
      <c r="E49" s="4">
        <v>5.0</v>
      </c>
      <c r="F49" s="4" t="s">
        <v>18</v>
      </c>
      <c r="G49" s="4" t="s">
        <v>17</v>
      </c>
      <c r="H49" s="4" t="s">
        <v>17</v>
      </c>
      <c r="I49" s="4" t="s">
        <v>17</v>
      </c>
      <c r="J49" s="4" t="s">
        <v>18</v>
      </c>
      <c r="K49" s="4" t="s">
        <v>17</v>
      </c>
      <c r="L49" s="4" t="s">
        <v>17</v>
      </c>
      <c r="M49" s="4" t="s">
        <v>18</v>
      </c>
      <c r="N49" s="4" t="s">
        <v>17</v>
      </c>
      <c r="O49" s="4" t="s">
        <v>17</v>
      </c>
    </row>
    <row r="50" ht="22.5" customHeight="1">
      <c r="A50" s="2">
        <v>46153.51474465278</v>
      </c>
      <c r="B50" s="3">
        <f t="shared" si="1"/>
        <v>0.4</v>
      </c>
      <c r="C50" s="4" t="s">
        <v>15</v>
      </c>
      <c r="D50" s="4" t="s">
        <v>19</v>
      </c>
      <c r="E50" s="4">
        <v>5.0</v>
      </c>
      <c r="F50" s="5"/>
      <c r="G50" s="4" t="s">
        <v>17</v>
      </c>
      <c r="H50" s="5"/>
      <c r="I50" s="4" t="s">
        <v>18</v>
      </c>
      <c r="J50" s="4" t="s">
        <v>18</v>
      </c>
      <c r="K50" s="4" t="s">
        <v>18</v>
      </c>
      <c r="L50" s="4" t="s">
        <v>17</v>
      </c>
      <c r="M50" s="4" t="s">
        <v>17</v>
      </c>
      <c r="N50" s="4" t="s">
        <v>18</v>
      </c>
      <c r="O50" s="4" t="s">
        <v>17</v>
      </c>
    </row>
    <row r="51" ht="22.5" customHeight="1">
      <c r="A51" s="2">
        <v>46153.514939456014</v>
      </c>
      <c r="B51" s="3">
        <f t="shared" si="1"/>
        <v>0.7</v>
      </c>
      <c r="C51" s="4" t="s">
        <v>15</v>
      </c>
      <c r="D51" s="4" t="s">
        <v>19</v>
      </c>
      <c r="E51" s="4">
        <v>4.0</v>
      </c>
      <c r="F51" s="4" t="s">
        <v>18</v>
      </c>
      <c r="G51" s="4" t="s">
        <v>17</v>
      </c>
      <c r="H51" s="4" t="s">
        <v>17</v>
      </c>
      <c r="I51" s="4" t="s">
        <v>17</v>
      </c>
      <c r="J51" s="4" t="s">
        <v>18</v>
      </c>
      <c r="K51" s="4" t="s">
        <v>18</v>
      </c>
      <c r="L51" s="4" t="s">
        <v>17</v>
      </c>
      <c r="M51" s="4" t="s">
        <v>17</v>
      </c>
      <c r="N51" s="4" t="s">
        <v>17</v>
      </c>
      <c r="O51" s="4" t="s">
        <v>17</v>
      </c>
    </row>
    <row r="52" ht="22.5" customHeight="1">
      <c r="A52" s="2">
        <v>46153.51519866898</v>
      </c>
      <c r="B52" s="3">
        <f t="shared" si="1"/>
        <v>0.8</v>
      </c>
      <c r="C52" s="4" t="s">
        <v>15</v>
      </c>
      <c r="D52" s="4" t="s">
        <v>16</v>
      </c>
      <c r="E52" s="4">
        <v>4.0</v>
      </c>
      <c r="F52" s="4" t="s">
        <v>17</v>
      </c>
      <c r="G52" s="4" t="s">
        <v>18</v>
      </c>
      <c r="H52" s="4" t="s">
        <v>17</v>
      </c>
      <c r="I52" s="4" t="s">
        <v>17</v>
      </c>
      <c r="J52" s="4" t="s">
        <v>17</v>
      </c>
      <c r="K52" s="4" t="s">
        <v>18</v>
      </c>
      <c r="L52" s="4" t="s">
        <v>17</v>
      </c>
      <c r="M52" s="4" t="s">
        <v>17</v>
      </c>
      <c r="N52" s="4" t="s">
        <v>17</v>
      </c>
      <c r="O52" s="4" t="s">
        <v>17</v>
      </c>
    </row>
    <row r="53" ht="22.5" customHeight="1">
      <c r="A53" s="2">
        <v>46153.51542293982</v>
      </c>
      <c r="B53" s="3">
        <f t="shared" si="1"/>
        <v>0.7</v>
      </c>
      <c r="C53" s="4" t="s">
        <v>15</v>
      </c>
      <c r="D53" s="4" t="s">
        <v>19</v>
      </c>
      <c r="E53" s="4">
        <v>4.0</v>
      </c>
      <c r="F53" s="4" t="s">
        <v>18</v>
      </c>
      <c r="G53" s="4" t="s">
        <v>17</v>
      </c>
      <c r="H53" s="4" t="s">
        <v>17</v>
      </c>
      <c r="I53" s="4" t="s">
        <v>18</v>
      </c>
      <c r="J53" s="4" t="s">
        <v>18</v>
      </c>
      <c r="K53" s="4" t="s">
        <v>17</v>
      </c>
      <c r="L53" s="4" t="s">
        <v>17</v>
      </c>
      <c r="M53" s="4" t="s">
        <v>17</v>
      </c>
      <c r="N53" s="4" t="s">
        <v>17</v>
      </c>
      <c r="O53" s="4" t="s">
        <v>17</v>
      </c>
    </row>
    <row r="54" ht="22.5" customHeight="1">
      <c r="A54" s="2">
        <v>46153.515794039355</v>
      </c>
      <c r="B54" s="3">
        <f t="shared" si="1"/>
        <v>0.5</v>
      </c>
      <c r="C54" s="4" t="s">
        <v>15</v>
      </c>
      <c r="D54" s="4" t="s">
        <v>19</v>
      </c>
      <c r="E54" s="4">
        <v>5.0</v>
      </c>
      <c r="F54" s="4" t="s">
        <v>18</v>
      </c>
      <c r="G54" s="4" t="s">
        <v>18</v>
      </c>
      <c r="H54" s="4" t="s">
        <v>17</v>
      </c>
      <c r="I54" s="4" t="s">
        <v>18</v>
      </c>
      <c r="J54" s="4" t="s">
        <v>17</v>
      </c>
      <c r="K54" s="4" t="s">
        <v>18</v>
      </c>
      <c r="L54" s="4" t="s">
        <v>17</v>
      </c>
      <c r="M54" s="4" t="s">
        <v>17</v>
      </c>
      <c r="N54" s="4" t="s">
        <v>18</v>
      </c>
      <c r="O54" s="4" t="s">
        <v>17</v>
      </c>
    </row>
    <row r="55" ht="22.5" customHeight="1">
      <c r="A55" s="2">
        <v>46153.516213263894</v>
      </c>
      <c r="B55" s="3">
        <f t="shared" si="1"/>
        <v>0.5</v>
      </c>
      <c r="C55" s="4" t="s">
        <v>15</v>
      </c>
      <c r="D55" s="4" t="s">
        <v>19</v>
      </c>
      <c r="E55" s="4">
        <v>5.0</v>
      </c>
      <c r="F55" s="4" t="s">
        <v>17</v>
      </c>
      <c r="G55" s="4" t="s">
        <v>17</v>
      </c>
      <c r="H55" s="4" t="s">
        <v>17</v>
      </c>
      <c r="I55" s="4" t="s">
        <v>18</v>
      </c>
      <c r="J55" s="4" t="s">
        <v>17</v>
      </c>
      <c r="K55" s="4" t="s">
        <v>18</v>
      </c>
      <c r="L55" s="4" t="s">
        <v>18</v>
      </c>
      <c r="M55" s="4" t="s">
        <v>17</v>
      </c>
      <c r="N55" s="4" t="s">
        <v>18</v>
      </c>
      <c r="O55" s="4" t="s">
        <v>18</v>
      </c>
    </row>
    <row r="56" ht="22.5" customHeight="1">
      <c r="A56" s="2">
        <v>46153.51714034722</v>
      </c>
      <c r="B56" s="3">
        <f t="shared" si="1"/>
        <v>0.7</v>
      </c>
      <c r="C56" s="4" t="s">
        <v>15</v>
      </c>
      <c r="D56" s="4" t="s">
        <v>16</v>
      </c>
      <c r="E56" s="4">
        <v>5.0</v>
      </c>
      <c r="F56" s="4" t="s">
        <v>17</v>
      </c>
      <c r="G56" s="4" t="s">
        <v>18</v>
      </c>
      <c r="H56" s="4" t="s">
        <v>18</v>
      </c>
      <c r="I56" s="4" t="s">
        <v>17</v>
      </c>
      <c r="J56" s="4" t="s">
        <v>17</v>
      </c>
      <c r="K56" s="4" t="s">
        <v>17</v>
      </c>
      <c r="L56" s="4" t="s">
        <v>17</v>
      </c>
      <c r="M56" s="4" t="s">
        <v>17</v>
      </c>
      <c r="N56" s="4" t="s">
        <v>18</v>
      </c>
      <c r="O56" s="4" t="s">
        <v>17</v>
      </c>
    </row>
    <row r="57" ht="22.5" customHeight="1">
      <c r="A57" s="2">
        <v>46153.51740658565</v>
      </c>
      <c r="B57" s="3">
        <f t="shared" si="1"/>
        <v>0.2</v>
      </c>
      <c r="C57" s="4" t="s">
        <v>15</v>
      </c>
      <c r="D57" s="4" t="s">
        <v>16</v>
      </c>
      <c r="E57" s="4">
        <v>5.0</v>
      </c>
      <c r="F57" s="4" t="s">
        <v>17</v>
      </c>
      <c r="G57" s="4" t="s">
        <v>18</v>
      </c>
      <c r="H57" s="4" t="s">
        <v>18</v>
      </c>
      <c r="I57" s="4" t="s">
        <v>18</v>
      </c>
      <c r="J57" s="4" t="s">
        <v>18</v>
      </c>
      <c r="K57" s="4" t="s">
        <v>18</v>
      </c>
      <c r="L57" s="4" t="s">
        <v>18</v>
      </c>
      <c r="M57" s="4" t="s">
        <v>18</v>
      </c>
      <c r="N57" s="4" t="s">
        <v>18</v>
      </c>
      <c r="O57" s="4" t="s">
        <v>17</v>
      </c>
    </row>
    <row r="58" ht="22.5" customHeight="1">
      <c r="A58" s="2">
        <v>46153.51901534722</v>
      </c>
      <c r="B58" s="3">
        <f t="shared" si="1"/>
        <v>0.7</v>
      </c>
      <c r="C58" s="4" t="s">
        <v>15</v>
      </c>
      <c r="D58" s="4" t="s">
        <v>19</v>
      </c>
      <c r="E58" s="4">
        <v>5.0</v>
      </c>
      <c r="F58" s="4" t="s">
        <v>17</v>
      </c>
      <c r="G58" s="4" t="s">
        <v>18</v>
      </c>
      <c r="H58" s="4" t="s">
        <v>18</v>
      </c>
      <c r="I58" s="4" t="s">
        <v>18</v>
      </c>
      <c r="J58" s="4" t="s">
        <v>17</v>
      </c>
      <c r="K58" s="4" t="s">
        <v>17</v>
      </c>
      <c r="L58" s="4" t="s">
        <v>17</v>
      </c>
      <c r="M58" s="4" t="s">
        <v>17</v>
      </c>
      <c r="N58" s="4" t="s">
        <v>17</v>
      </c>
      <c r="O58" s="4" t="s">
        <v>17</v>
      </c>
    </row>
    <row r="59" ht="22.5" customHeight="1">
      <c r="A59" s="2">
        <v>46153.519578680556</v>
      </c>
      <c r="B59" s="3">
        <f t="shared" si="1"/>
        <v>0.4</v>
      </c>
      <c r="C59" s="4" t="s">
        <v>15</v>
      </c>
      <c r="D59" s="4" t="s">
        <v>19</v>
      </c>
      <c r="E59" s="4">
        <v>4.0</v>
      </c>
      <c r="F59" s="4" t="s">
        <v>18</v>
      </c>
      <c r="G59" s="4" t="s">
        <v>17</v>
      </c>
      <c r="H59" s="4" t="s">
        <v>17</v>
      </c>
      <c r="I59" s="4" t="s">
        <v>18</v>
      </c>
      <c r="J59" s="4" t="s">
        <v>18</v>
      </c>
      <c r="K59" s="4" t="s">
        <v>18</v>
      </c>
      <c r="L59" s="4" t="s">
        <v>17</v>
      </c>
      <c r="M59" s="4" t="s">
        <v>17</v>
      </c>
      <c r="N59" s="4" t="s">
        <v>18</v>
      </c>
      <c r="O59" s="4" t="s">
        <v>18</v>
      </c>
    </row>
    <row r="60" ht="22.5" customHeight="1">
      <c r="A60" s="2">
        <v>46153.51990075232</v>
      </c>
      <c r="B60" s="3">
        <f t="shared" si="1"/>
        <v>0.4</v>
      </c>
      <c r="C60" s="4" t="s">
        <v>15</v>
      </c>
      <c r="D60" s="4" t="s">
        <v>16</v>
      </c>
      <c r="E60" s="4">
        <v>3.0</v>
      </c>
      <c r="F60" s="4" t="s">
        <v>18</v>
      </c>
      <c r="G60" s="4" t="s">
        <v>18</v>
      </c>
      <c r="H60" s="4" t="s">
        <v>17</v>
      </c>
      <c r="I60" s="4" t="s">
        <v>18</v>
      </c>
      <c r="J60" s="4" t="s">
        <v>18</v>
      </c>
      <c r="K60" s="4" t="s">
        <v>18</v>
      </c>
      <c r="L60" s="4" t="s">
        <v>18</v>
      </c>
      <c r="M60" s="4" t="s">
        <v>17</v>
      </c>
      <c r="N60" s="4" t="s">
        <v>17</v>
      </c>
      <c r="O60" s="4" t="s">
        <v>17</v>
      </c>
    </row>
    <row r="61" ht="22.5" customHeight="1">
      <c r="A61" s="2">
        <v>46153.5221066088</v>
      </c>
      <c r="B61" s="3">
        <f t="shared" si="1"/>
        <v>0.5</v>
      </c>
      <c r="C61" s="4" t="s">
        <v>15</v>
      </c>
      <c r="D61" s="4" t="s">
        <v>19</v>
      </c>
      <c r="E61" s="4">
        <v>4.0</v>
      </c>
      <c r="F61" s="4" t="s">
        <v>18</v>
      </c>
      <c r="G61" s="4" t="s">
        <v>17</v>
      </c>
      <c r="H61" s="4" t="s">
        <v>18</v>
      </c>
      <c r="I61" s="4" t="s">
        <v>18</v>
      </c>
      <c r="J61" s="4" t="s">
        <v>17</v>
      </c>
      <c r="K61" s="4" t="s">
        <v>18</v>
      </c>
      <c r="L61" s="4" t="s">
        <v>17</v>
      </c>
      <c r="M61" s="4" t="s">
        <v>17</v>
      </c>
      <c r="N61" s="4" t="s">
        <v>18</v>
      </c>
      <c r="O61" s="4" t="s">
        <v>17</v>
      </c>
    </row>
    <row r="62" ht="22.5" customHeight="1">
      <c r="A62" s="2">
        <v>46153.52252861111</v>
      </c>
      <c r="B62" s="3">
        <f t="shared" si="1"/>
        <v>0.5</v>
      </c>
      <c r="C62" s="4" t="s">
        <v>15</v>
      </c>
      <c r="D62" s="4" t="s">
        <v>16</v>
      </c>
      <c r="E62" s="4">
        <v>5.0</v>
      </c>
      <c r="F62" s="4" t="s">
        <v>17</v>
      </c>
      <c r="G62" s="4" t="s">
        <v>18</v>
      </c>
      <c r="H62" s="4" t="s">
        <v>17</v>
      </c>
      <c r="I62" s="4" t="s">
        <v>17</v>
      </c>
      <c r="J62" s="4" t="s">
        <v>17</v>
      </c>
      <c r="K62" s="4" t="s">
        <v>18</v>
      </c>
      <c r="L62" s="4" t="s">
        <v>17</v>
      </c>
      <c r="M62" s="4" t="s">
        <v>18</v>
      </c>
      <c r="N62" s="4" t="s">
        <v>18</v>
      </c>
      <c r="O62" s="4" t="s">
        <v>18</v>
      </c>
    </row>
    <row r="63" ht="22.5" customHeight="1">
      <c r="A63" s="2">
        <v>46153.532799594905</v>
      </c>
      <c r="B63" s="3">
        <f t="shared" si="1"/>
        <v>0.6</v>
      </c>
      <c r="C63" s="4" t="s">
        <v>20</v>
      </c>
      <c r="D63" s="4" t="s">
        <v>19</v>
      </c>
      <c r="E63" s="4">
        <v>4.0</v>
      </c>
      <c r="F63" s="4" t="s">
        <v>17</v>
      </c>
      <c r="G63" s="4" t="s">
        <v>18</v>
      </c>
      <c r="H63" s="4" t="s">
        <v>18</v>
      </c>
      <c r="I63" s="4" t="s">
        <v>17</v>
      </c>
      <c r="J63" s="4" t="s">
        <v>17</v>
      </c>
      <c r="K63" s="4" t="s">
        <v>18</v>
      </c>
      <c r="L63" s="4" t="s">
        <v>17</v>
      </c>
      <c r="M63" s="4" t="s">
        <v>17</v>
      </c>
      <c r="N63" s="4" t="s">
        <v>18</v>
      </c>
      <c r="O63" s="4" t="s">
        <v>17</v>
      </c>
    </row>
    <row r="64" ht="22.5" customHeight="1">
      <c r="A64" s="2">
        <v>46153.53657251157</v>
      </c>
      <c r="B64" s="3">
        <f t="shared" si="1"/>
        <v>0.7</v>
      </c>
      <c r="C64" s="4" t="s">
        <v>15</v>
      </c>
      <c r="D64" s="4" t="s">
        <v>19</v>
      </c>
      <c r="E64" s="4">
        <v>5.0</v>
      </c>
      <c r="F64" s="4" t="s">
        <v>17</v>
      </c>
      <c r="G64" s="4" t="s">
        <v>17</v>
      </c>
      <c r="H64" s="4" t="s">
        <v>18</v>
      </c>
      <c r="I64" s="4" t="s">
        <v>17</v>
      </c>
      <c r="J64" s="4" t="s">
        <v>18</v>
      </c>
      <c r="K64" s="4" t="s">
        <v>17</v>
      </c>
      <c r="L64" s="4" t="s">
        <v>18</v>
      </c>
      <c r="M64" s="4" t="s">
        <v>17</v>
      </c>
      <c r="N64" s="4" t="s">
        <v>17</v>
      </c>
      <c r="O64" s="4" t="s">
        <v>17</v>
      </c>
    </row>
    <row r="65" ht="22.5" customHeight="1">
      <c r="A65" s="2">
        <v>46153.53793362269</v>
      </c>
      <c r="B65" s="3">
        <f t="shared" si="1"/>
        <v>0.6</v>
      </c>
      <c r="C65" s="4" t="s">
        <v>15</v>
      </c>
      <c r="D65" s="4" t="s">
        <v>19</v>
      </c>
      <c r="E65" s="4">
        <v>4.0</v>
      </c>
      <c r="F65" s="4" t="s">
        <v>17</v>
      </c>
      <c r="G65" s="4" t="s">
        <v>18</v>
      </c>
      <c r="H65" s="4" t="s">
        <v>17</v>
      </c>
      <c r="I65" s="4" t="s">
        <v>17</v>
      </c>
      <c r="J65" s="4" t="s">
        <v>18</v>
      </c>
      <c r="K65" s="4" t="s">
        <v>18</v>
      </c>
      <c r="L65" s="4" t="s">
        <v>17</v>
      </c>
      <c r="M65" s="4" t="s">
        <v>18</v>
      </c>
      <c r="N65" s="4" t="s">
        <v>17</v>
      </c>
      <c r="O65" s="4" t="s">
        <v>17</v>
      </c>
    </row>
    <row r="66" ht="22.5" customHeight="1">
      <c r="A66" s="2">
        <v>46153.538721377314</v>
      </c>
      <c r="B66" s="3">
        <f t="shared" si="1"/>
        <v>0.6</v>
      </c>
      <c r="C66" s="4" t="s">
        <v>15</v>
      </c>
      <c r="D66" s="4" t="s">
        <v>16</v>
      </c>
      <c r="E66" s="4">
        <v>3.0</v>
      </c>
      <c r="F66" s="4" t="s">
        <v>18</v>
      </c>
      <c r="G66" s="4" t="s">
        <v>18</v>
      </c>
      <c r="H66" s="4" t="s">
        <v>18</v>
      </c>
      <c r="I66" s="4" t="s">
        <v>17</v>
      </c>
      <c r="J66" s="4" t="s">
        <v>17</v>
      </c>
      <c r="K66" s="4" t="s">
        <v>17</v>
      </c>
      <c r="L66" s="4" t="s">
        <v>18</v>
      </c>
      <c r="M66" s="4" t="s">
        <v>17</v>
      </c>
      <c r="N66" s="4" t="s">
        <v>17</v>
      </c>
      <c r="O66" s="4" t="s">
        <v>17</v>
      </c>
    </row>
    <row r="67" ht="22.5" customHeight="1">
      <c r="A67" s="2">
        <v>46153.5397318287</v>
      </c>
      <c r="B67" s="3">
        <f t="shared" si="1"/>
        <v>0.4</v>
      </c>
      <c r="C67" s="4" t="s">
        <v>15</v>
      </c>
      <c r="D67" s="4" t="s">
        <v>16</v>
      </c>
      <c r="E67" s="4">
        <v>3.0</v>
      </c>
      <c r="F67" s="4" t="s">
        <v>17</v>
      </c>
      <c r="G67" s="4" t="s">
        <v>18</v>
      </c>
      <c r="H67" s="4" t="s">
        <v>18</v>
      </c>
      <c r="I67" s="4" t="s">
        <v>18</v>
      </c>
      <c r="J67" s="4" t="s">
        <v>17</v>
      </c>
      <c r="K67" s="4" t="s">
        <v>18</v>
      </c>
      <c r="L67" s="4" t="s">
        <v>17</v>
      </c>
      <c r="M67" s="4" t="s">
        <v>17</v>
      </c>
      <c r="N67" s="4" t="s">
        <v>18</v>
      </c>
      <c r="O67" s="4" t="s">
        <v>18</v>
      </c>
    </row>
    <row r="68" ht="22.5" customHeight="1">
      <c r="A68" s="2">
        <v>46153.54000190972</v>
      </c>
      <c r="B68" s="3">
        <f t="shared" si="1"/>
        <v>0.6</v>
      </c>
      <c r="C68" s="4" t="s">
        <v>15</v>
      </c>
      <c r="D68" s="4" t="s">
        <v>16</v>
      </c>
      <c r="E68" s="4">
        <v>3.0</v>
      </c>
      <c r="F68" s="4" t="s">
        <v>18</v>
      </c>
      <c r="G68" s="4" t="s">
        <v>17</v>
      </c>
      <c r="H68" s="4" t="s">
        <v>17</v>
      </c>
      <c r="I68" s="4" t="s">
        <v>17</v>
      </c>
      <c r="J68" s="4" t="s">
        <v>18</v>
      </c>
      <c r="K68" s="4" t="s">
        <v>18</v>
      </c>
      <c r="L68" s="4" t="s">
        <v>17</v>
      </c>
      <c r="M68" s="4" t="s">
        <v>17</v>
      </c>
      <c r="N68" s="4" t="s">
        <v>18</v>
      </c>
      <c r="O68" s="4" t="s">
        <v>17</v>
      </c>
    </row>
    <row r="69" ht="22.5" customHeight="1">
      <c r="A69" s="2">
        <v>46153.54074541667</v>
      </c>
      <c r="B69" s="3">
        <f t="shared" si="1"/>
        <v>0.6</v>
      </c>
      <c r="C69" s="4" t="s">
        <v>21</v>
      </c>
      <c r="D69" s="4" t="s">
        <v>16</v>
      </c>
      <c r="E69" s="4">
        <v>4.0</v>
      </c>
      <c r="F69" s="4" t="s">
        <v>17</v>
      </c>
      <c r="G69" s="4" t="s">
        <v>18</v>
      </c>
      <c r="H69" s="4" t="s">
        <v>17</v>
      </c>
      <c r="I69" s="4" t="s">
        <v>18</v>
      </c>
      <c r="J69" s="4" t="s">
        <v>17</v>
      </c>
      <c r="K69" s="4" t="s">
        <v>18</v>
      </c>
      <c r="L69" s="4" t="s">
        <v>17</v>
      </c>
      <c r="M69" s="4" t="s">
        <v>17</v>
      </c>
      <c r="N69" s="4" t="s">
        <v>17</v>
      </c>
      <c r="O69" s="4" t="s">
        <v>18</v>
      </c>
    </row>
    <row r="70" ht="22.5" customHeight="1">
      <c r="A70" s="2">
        <v>46153.552651770835</v>
      </c>
      <c r="B70" s="3">
        <f t="shared" si="1"/>
        <v>0.6</v>
      </c>
      <c r="C70" s="4" t="s">
        <v>22</v>
      </c>
      <c r="D70" s="4" t="s">
        <v>19</v>
      </c>
      <c r="E70" s="4">
        <v>5.0</v>
      </c>
      <c r="F70" s="4" t="s">
        <v>17</v>
      </c>
      <c r="G70" s="4" t="s">
        <v>17</v>
      </c>
      <c r="H70" s="4" t="s">
        <v>18</v>
      </c>
      <c r="I70" s="4" t="s">
        <v>17</v>
      </c>
      <c r="J70" s="4" t="s">
        <v>18</v>
      </c>
      <c r="K70" s="4" t="s">
        <v>17</v>
      </c>
      <c r="L70" s="4" t="s">
        <v>18</v>
      </c>
      <c r="M70" s="4" t="s">
        <v>17</v>
      </c>
      <c r="N70" s="4" t="s">
        <v>18</v>
      </c>
      <c r="O70" s="4" t="s">
        <v>17</v>
      </c>
    </row>
    <row r="71" ht="22.5" customHeight="1">
      <c r="A71" s="2">
        <v>46153.55299241898</v>
      </c>
      <c r="B71" s="3">
        <f t="shared" si="1"/>
        <v>0.4</v>
      </c>
      <c r="C71" s="4" t="s">
        <v>15</v>
      </c>
      <c r="D71" s="4" t="s">
        <v>19</v>
      </c>
      <c r="E71" s="4">
        <v>6.0</v>
      </c>
      <c r="F71" s="4" t="s">
        <v>17</v>
      </c>
      <c r="G71" s="4" t="s">
        <v>17</v>
      </c>
      <c r="H71" s="4" t="s">
        <v>18</v>
      </c>
      <c r="I71" s="4" t="s">
        <v>18</v>
      </c>
      <c r="J71" s="4" t="s">
        <v>18</v>
      </c>
      <c r="K71" s="4" t="s">
        <v>18</v>
      </c>
      <c r="L71" s="4" t="s">
        <v>17</v>
      </c>
      <c r="M71" s="4" t="s">
        <v>17</v>
      </c>
      <c r="N71" s="4" t="s">
        <v>18</v>
      </c>
      <c r="O71" s="4" t="s">
        <v>18</v>
      </c>
    </row>
    <row r="72" ht="22.5" customHeight="1">
      <c r="A72" s="2">
        <v>46153.553799456015</v>
      </c>
      <c r="B72" s="3">
        <f t="shared" si="1"/>
        <v>0.5</v>
      </c>
      <c r="C72" s="4" t="s">
        <v>15</v>
      </c>
      <c r="D72" s="4" t="s">
        <v>19</v>
      </c>
      <c r="E72" s="4">
        <v>6.0</v>
      </c>
      <c r="F72" s="4" t="s">
        <v>17</v>
      </c>
      <c r="G72" s="4" t="s">
        <v>18</v>
      </c>
      <c r="H72" s="4" t="s">
        <v>17</v>
      </c>
      <c r="I72" s="4" t="s">
        <v>18</v>
      </c>
      <c r="J72" s="4" t="s">
        <v>17</v>
      </c>
      <c r="K72" s="4" t="s">
        <v>18</v>
      </c>
      <c r="L72" s="4" t="s">
        <v>18</v>
      </c>
      <c r="M72" s="4" t="s">
        <v>18</v>
      </c>
      <c r="N72" s="4" t="s">
        <v>17</v>
      </c>
      <c r="O72" s="4" t="s">
        <v>17</v>
      </c>
    </row>
    <row r="73" ht="22.5" customHeight="1">
      <c r="A73" s="2">
        <v>46153.56629023148</v>
      </c>
      <c r="B73" s="3">
        <f t="shared" si="1"/>
        <v>0.2</v>
      </c>
      <c r="C73" s="4" t="s">
        <v>21</v>
      </c>
      <c r="D73" s="4" t="s">
        <v>16</v>
      </c>
      <c r="E73" s="4">
        <v>2.0</v>
      </c>
      <c r="F73" s="4" t="s">
        <v>18</v>
      </c>
      <c r="G73" s="4" t="s">
        <v>18</v>
      </c>
      <c r="H73" s="4" t="s">
        <v>17</v>
      </c>
      <c r="I73" s="4" t="s">
        <v>18</v>
      </c>
      <c r="J73" s="4" t="s">
        <v>17</v>
      </c>
      <c r="K73" s="4" t="s">
        <v>18</v>
      </c>
      <c r="L73" s="4" t="s">
        <v>18</v>
      </c>
      <c r="M73" s="4" t="s">
        <v>18</v>
      </c>
      <c r="N73" s="4" t="s">
        <v>18</v>
      </c>
      <c r="O73" s="4" t="s">
        <v>18</v>
      </c>
    </row>
    <row r="74" ht="22.5" customHeight="1">
      <c r="A74" s="2">
        <v>46153.56720005787</v>
      </c>
      <c r="B74" s="3">
        <f t="shared" si="1"/>
        <v>0.4</v>
      </c>
      <c r="C74" s="4" t="s">
        <v>24</v>
      </c>
      <c r="D74" s="4" t="s">
        <v>19</v>
      </c>
      <c r="E74" s="4">
        <v>4.0</v>
      </c>
      <c r="F74" s="4" t="s">
        <v>17</v>
      </c>
      <c r="G74" s="4" t="s">
        <v>18</v>
      </c>
      <c r="H74" s="4" t="s">
        <v>18</v>
      </c>
      <c r="I74" s="4" t="s">
        <v>18</v>
      </c>
      <c r="J74" s="4" t="s">
        <v>17</v>
      </c>
      <c r="K74" s="4" t="s">
        <v>18</v>
      </c>
      <c r="L74" s="4" t="s">
        <v>17</v>
      </c>
      <c r="M74" s="4" t="s">
        <v>18</v>
      </c>
      <c r="N74" s="4" t="s">
        <v>18</v>
      </c>
      <c r="O74" s="4" t="s">
        <v>17</v>
      </c>
    </row>
    <row r="75" ht="22.5" customHeight="1">
      <c r="A75" s="2">
        <v>46153.5757247338</v>
      </c>
      <c r="B75" s="3">
        <f t="shared" si="1"/>
        <v>0.3</v>
      </c>
      <c r="C75" s="4" t="s">
        <v>15</v>
      </c>
      <c r="D75" s="4" t="s">
        <v>19</v>
      </c>
      <c r="E75" s="5"/>
      <c r="F75" s="4" t="s">
        <v>18</v>
      </c>
      <c r="G75" s="4" t="s">
        <v>18</v>
      </c>
      <c r="H75" s="4" t="s">
        <v>18</v>
      </c>
      <c r="I75" s="4" t="s">
        <v>18</v>
      </c>
      <c r="J75" s="4" t="s">
        <v>17</v>
      </c>
      <c r="K75" s="4" t="s">
        <v>17</v>
      </c>
      <c r="L75" s="4" t="s">
        <v>17</v>
      </c>
      <c r="M75" s="4" t="s">
        <v>18</v>
      </c>
      <c r="N75" s="4" t="s">
        <v>18</v>
      </c>
      <c r="O75" s="4" t="s">
        <v>18</v>
      </c>
    </row>
    <row r="76" ht="22.5" customHeight="1">
      <c r="A76" s="2">
        <v>46153.577622199075</v>
      </c>
      <c r="B76" s="3">
        <f t="shared" si="1"/>
        <v>0.6</v>
      </c>
      <c r="C76" s="4" t="s">
        <v>15</v>
      </c>
      <c r="D76" s="4" t="s">
        <v>19</v>
      </c>
      <c r="E76" s="4">
        <v>6.0</v>
      </c>
      <c r="F76" s="4" t="s">
        <v>17</v>
      </c>
      <c r="G76" s="4" t="s">
        <v>17</v>
      </c>
      <c r="H76" s="4" t="s">
        <v>18</v>
      </c>
      <c r="I76" s="4" t="s">
        <v>18</v>
      </c>
      <c r="J76" s="4" t="s">
        <v>18</v>
      </c>
      <c r="K76" s="4" t="s">
        <v>18</v>
      </c>
      <c r="L76" s="4" t="s">
        <v>17</v>
      </c>
      <c r="M76" s="4" t="s">
        <v>17</v>
      </c>
      <c r="N76" s="4" t="s">
        <v>17</v>
      </c>
      <c r="O76" s="4" t="s">
        <v>17</v>
      </c>
    </row>
    <row r="77" ht="22.5" customHeight="1">
      <c r="A77" s="2">
        <v>46153.57881684028</v>
      </c>
      <c r="B77" s="3">
        <f t="shared" si="1"/>
        <v>0.3</v>
      </c>
      <c r="C77" s="4" t="s">
        <v>21</v>
      </c>
      <c r="D77" s="4" t="s">
        <v>16</v>
      </c>
      <c r="E77" s="4">
        <v>5.0</v>
      </c>
      <c r="F77" s="4" t="s">
        <v>18</v>
      </c>
      <c r="G77" s="4" t="s">
        <v>17</v>
      </c>
      <c r="H77" s="4" t="s">
        <v>18</v>
      </c>
      <c r="I77" s="4" t="s">
        <v>18</v>
      </c>
      <c r="J77" s="4" t="s">
        <v>17</v>
      </c>
      <c r="K77" s="4" t="s">
        <v>18</v>
      </c>
      <c r="L77" s="4" t="s">
        <v>18</v>
      </c>
      <c r="M77" s="4" t="s">
        <v>18</v>
      </c>
      <c r="N77" s="4" t="s">
        <v>17</v>
      </c>
      <c r="O77" s="4" t="s">
        <v>18</v>
      </c>
    </row>
    <row r="78" ht="22.5" customHeight="1">
      <c r="A78" s="2">
        <v>46153.59105179398</v>
      </c>
      <c r="B78" s="3">
        <f t="shared" si="1"/>
        <v>0.6</v>
      </c>
      <c r="C78" s="4" t="s">
        <v>25</v>
      </c>
      <c r="D78" s="4" t="s">
        <v>16</v>
      </c>
      <c r="E78" s="4">
        <v>4.0</v>
      </c>
      <c r="F78" s="4" t="s">
        <v>18</v>
      </c>
      <c r="G78" s="4" t="s">
        <v>17</v>
      </c>
      <c r="H78" s="4" t="s">
        <v>18</v>
      </c>
      <c r="I78" s="4" t="s">
        <v>18</v>
      </c>
      <c r="J78" s="4" t="s">
        <v>17</v>
      </c>
      <c r="K78" s="4" t="s">
        <v>17</v>
      </c>
      <c r="L78" s="4" t="s">
        <v>17</v>
      </c>
      <c r="M78" s="4" t="s">
        <v>17</v>
      </c>
      <c r="N78" s="4" t="s">
        <v>18</v>
      </c>
      <c r="O78" s="4" t="s">
        <v>17</v>
      </c>
    </row>
    <row r="79" ht="22.5" customHeight="1">
      <c r="A79" s="2">
        <v>46153.60294611111</v>
      </c>
      <c r="B79" s="3">
        <f t="shared" si="1"/>
        <v>0.3</v>
      </c>
      <c r="C79" s="4" t="s">
        <v>15</v>
      </c>
      <c r="D79" s="4" t="s">
        <v>19</v>
      </c>
      <c r="E79" s="4">
        <v>6.0</v>
      </c>
      <c r="F79" s="4" t="s">
        <v>18</v>
      </c>
      <c r="G79" s="4" t="s">
        <v>18</v>
      </c>
      <c r="H79" s="4" t="s">
        <v>18</v>
      </c>
      <c r="I79" s="4" t="s">
        <v>18</v>
      </c>
      <c r="J79" s="4" t="s">
        <v>18</v>
      </c>
      <c r="K79" s="4" t="s">
        <v>18</v>
      </c>
      <c r="L79" s="4" t="s">
        <v>17</v>
      </c>
      <c r="M79" s="4" t="s">
        <v>17</v>
      </c>
      <c r="N79" s="4" t="s">
        <v>18</v>
      </c>
      <c r="O79" s="4" t="s">
        <v>17</v>
      </c>
    </row>
    <row r="80" ht="22.5" customHeight="1">
      <c r="A80" s="2">
        <v>46153.61891615741</v>
      </c>
      <c r="B80" s="3">
        <f t="shared" si="1"/>
        <v>0.7</v>
      </c>
      <c r="C80" s="4" t="s">
        <v>15</v>
      </c>
      <c r="D80" s="4" t="s">
        <v>19</v>
      </c>
      <c r="E80" s="4">
        <v>1.0</v>
      </c>
      <c r="F80" s="4" t="s">
        <v>18</v>
      </c>
      <c r="G80" s="4" t="s">
        <v>18</v>
      </c>
      <c r="H80" s="4" t="s">
        <v>18</v>
      </c>
      <c r="I80" s="4" t="s">
        <v>17</v>
      </c>
      <c r="J80" s="4" t="s">
        <v>17</v>
      </c>
      <c r="K80" s="4" t="s">
        <v>17</v>
      </c>
      <c r="L80" s="4" t="s">
        <v>17</v>
      </c>
      <c r="M80" s="4" t="s">
        <v>17</v>
      </c>
      <c r="N80" s="4" t="s">
        <v>17</v>
      </c>
      <c r="O80" s="4" t="s">
        <v>17</v>
      </c>
    </row>
    <row r="81" ht="22.5" customHeight="1">
      <c r="A81" s="2">
        <v>46153.67103699074</v>
      </c>
      <c r="B81" s="3">
        <f t="shared" si="1"/>
        <v>0.6</v>
      </c>
      <c r="C81" s="4" t="s">
        <v>15</v>
      </c>
      <c r="D81" s="4" t="s">
        <v>16</v>
      </c>
      <c r="E81" s="4">
        <v>4.0</v>
      </c>
      <c r="F81" s="4" t="s">
        <v>18</v>
      </c>
      <c r="G81" s="4" t="s">
        <v>17</v>
      </c>
      <c r="H81" s="4" t="s">
        <v>17</v>
      </c>
      <c r="I81" s="4" t="s">
        <v>17</v>
      </c>
      <c r="J81" s="4" t="s">
        <v>18</v>
      </c>
      <c r="K81" s="4" t="s">
        <v>17</v>
      </c>
      <c r="L81" s="4" t="s">
        <v>18</v>
      </c>
      <c r="M81" s="4" t="s">
        <v>17</v>
      </c>
      <c r="N81" s="4" t="s">
        <v>18</v>
      </c>
      <c r="O81" s="4" t="s">
        <v>17</v>
      </c>
    </row>
    <row r="82" ht="22.5" customHeight="1">
      <c r="A82" s="2">
        <v>46153.7173246412</v>
      </c>
      <c r="B82" s="3">
        <f t="shared" si="1"/>
        <v>0.4</v>
      </c>
      <c r="C82" s="4" t="s">
        <v>15</v>
      </c>
      <c r="D82" s="4" t="s">
        <v>19</v>
      </c>
      <c r="E82" s="4">
        <v>4.0</v>
      </c>
      <c r="F82" s="4" t="s">
        <v>17</v>
      </c>
      <c r="G82" s="4" t="s">
        <v>17</v>
      </c>
      <c r="H82" s="4" t="s">
        <v>18</v>
      </c>
      <c r="I82" s="4" t="s">
        <v>17</v>
      </c>
      <c r="J82" s="4" t="s">
        <v>18</v>
      </c>
      <c r="K82" s="4" t="s">
        <v>18</v>
      </c>
      <c r="L82" s="4" t="s">
        <v>18</v>
      </c>
      <c r="M82" s="4" t="s">
        <v>18</v>
      </c>
      <c r="N82" s="4" t="s">
        <v>18</v>
      </c>
      <c r="O82" s="4" t="s">
        <v>17</v>
      </c>
    </row>
    <row r="83" ht="22.5" customHeight="1">
      <c r="A83" s="2">
        <v>46153.71786574074</v>
      </c>
      <c r="B83" s="3">
        <f t="shared" si="1"/>
        <v>0.5</v>
      </c>
      <c r="C83" s="4" t="s">
        <v>15</v>
      </c>
      <c r="D83" s="4" t="s">
        <v>19</v>
      </c>
      <c r="E83" s="4">
        <v>5.0</v>
      </c>
      <c r="F83" s="4" t="s">
        <v>17</v>
      </c>
      <c r="G83" s="4" t="s">
        <v>18</v>
      </c>
      <c r="H83" s="4" t="s">
        <v>18</v>
      </c>
      <c r="I83" s="4" t="s">
        <v>17</v>
      </c>
      <c r="J83" s="4" t="s">
        <v>18</v>
      </c>
      <c r="K83" s="4" t="s">
        <v>18</v>
      </c>
      <c r="L83" s="4" t="s">
        <v>18</v>
      </c>
      <c r="M83" s="4" t="s">
        <v>17</v>
      </c>
      <c r="N83" s="4" t="s">
        <v>17</v>
      </c>
      <c r="O83" s="4" t="s">
        <v>17</v>
      </c>
    </row>
    <row r="84" ht="22.5" customHeight="1">
      <c r="A84" s="2">
        <v>46153.73911414352</v>
      </c>
      <c r="B84" s="3">
        <f t="shared" si="1"/>
        <v>0.4</v>
      </c>
      <c r="C84" s="4" t="s">
        <v>15</v>
      </c>
      <c r="D84" s="4" t="s">
        <v>19</v>
      </c>
      <c r="E84" s="4">
        <v>6.0</v>
      </c>
      <c r="F84" s="4" t="s">
        <v>18</v>
      </c>
      <c r="G84" s="4" t="s">
        <v>17</v>
      </c>
      <c r="H84" s="4" t="s">
        <v>17</v>
      </c>
      <c r="I84" s="4" t="s">
        <v>18</v>
      </c>
      <c r="J84" s="4" t="s">
        <v>18</v>
      </c>
      <c r="K84" s="4" t="s">
        <v>18</v>
      </c>
      <c r="L84" s="4" t="s">
        <v>18</v>
      </c>
      <c r="M84" s="4" t="s">
        <v>17</v>
      </c>
      <c r="N84" s="4" t="s">
        <v>18</v>
      </c>
      <c r="O84" s="4" t="s">
        <v>17</v>
      </c>
    </row>
    <row r="85" ht="22.5" customHeight="1">
      <c r="A85" s="2">
        <v>46153.744738761576</v>
      </c>
      <c r="B85" s="3">
        <f t="shared" si="1"/>
        <v>0.6</v>
      </c>
      <c r="C85" s="4" t="s">
        <v>22</v>
      </c>
      <c r="D85" s="4" t="s">
        <v>16</v>
      </c>
      <c r="E85" s="4">
        <v>4.0</v>
      </c>
      <c r="F85" s="4" t="s">
        <v>18</v>
      </c>
      <c r="G85" s="4" t="s">
        <v>18</v>
      </c>
      <c r="H85" s="4" t="s">
        <v>17</v>
      </c>
      <c r="I85" s="4" t="s">
        <v>18</v>
      </c>
      <c r="J85" s="4" t="s">
        <v>17</v>
      </c>
      <c r="K85" s="4" t="s">
        <v>17</v>
      </c>
      <c r="L85" s="4" t="s">
        <v>17</v>
      </c>
      <c r="M85" s="4" t="s">
        <v>17</v>
      </c>
      <c r="N85" s="4" t="s">
        <v>17</v>
      </c>
      <c r="O85" s="4" t="s">
        <v>18</v>
      </c>
    </row>
    <row r="86" ht="22.5" customHeight="1">
      <c r="A86" s="2">
        <v>46153.78573765046</v>
      </c>
      <c r="B86" s="3">
        <f t="shared" si="1"/>
        <v>0.6</v>
      </c>
      <c r="C86" s="4" t="s">
        <v>23</v>
      </c>
      <c r="D86" s="4" t="s">
        <v>16</v>
      </c>
      <c r="E86" s="4">
        <v>4.0</v>
      </c>
      <c r="F86" s="4" t="s">
        <v>18</v>
      </c>
      <c r="G86" s="4" t="s">
        <v>18</v>
      </c>
      <c r="H86" s="4" t="s">
        <v>18</v>
      </c>
      <c r="I86" s="4" t="s">
        <v>17</v>
      </c>
      <c r="J86" s="4" t="s">
        <v>17</v>
      </c>
      <c r="K86" s="4" t="s">
        <v>17</v>
      </c>
      <c r="L86" s="4" t="s">
        <v>17</v>
      </c>
      <c r="M86" s="4" t="s">
        <v>17</v>
      </c>
      <c r="N86" s="4" t="s">
        <v>18</v>
      </c>
      <c r="O86" s="4" t="s">
        <v>17</v>
      </c>
    </row>
    <row r="87" ht="22.5" customHeight="1">
      <c r="A87" s="2">
        <v>46153.785855821756</v>
      </c>
      <c r="B87" s="3">
        <f t="shared" si="1"/>
        <v>0.4</v>
      </c>
      <c r="C87" s="4" t="s">
        <v>21</v>
      </c>
      <c r="D87" s="4" t="s">
        <v>16</v>
      </c>
      <c r="E87" s="4">
        <v>2.0</v>
      </c>
      <c r="F87" s="4" t="s">
        <v>18</v>
      </c>
      <c r="G87" s="4" t="s">
        <v>17</v>
      </c>
      <c r="H87" s="4" t="s">
        <v>18</v>
      </c>
      <c r="I87" s="4" t="s">
        <v>18</v>
      </c>
      <c r="J87" s="4" t="s">
        <v>18</v>
      </c>
      <c r="K87" s="4" t="s">
        <v>17</v>
      </c>
      <c r="L87" s="4" t="s">
        <v>18</v>
      </c>
      <c r="M87" s="4" t="s">
        <v>17</v>
      </c>
      <c r="N87" s="4" t="s">
        <v>18</v>
      </c>
      <c r="O87" s="4" t="s">
        <v>17</v>
      </c>
    </row>
    <row r="88" ht="22.5" customHeight="1">
      <c r="A88" s="2">
        <v>46153.82375685185</v>
      </c>
      <c r="B88" s="3">
        <f t="shared" si="1"/>
        <v>0.5</v>
      </c>
      <c r="C88" s="4" t="s">
        <v>23</v>
      </c>
      <c r="D88" s="4" t="s">
        <v>16</v>
      </c>
      <c r="E88" s="4">
        <v>4.0</v>
      </c>
      <c r="F88" s="4" t="s">
        <v>17</v>
      </c>
      <c r="G88" s="4" t="s">
        <v>17</v>
      </c>
      <c r="H88" s="4" t="s">
        <v>18</v>
      </c>
      <c r="I88" s="4" t="s">
        <v>18</v>
      </c>
      <c r="J88" s="4" t="s">
        <v>17</v>
      </c>
      <c r="K88" s="4" t="s">
        <v>17</v>
      </c>
      <c r="L88" s="4" t="s">
        <v>18</v>
      </c>
      <c r="M88" s="4" t="s">
        <v>18</v>
      </c>
      <c r="N88" s="4" t="s">
        <v>17</v>
      </c>
      <c r="O88" s="4" t="s">
        <v>18</v>
      </c>
    </row>
    <row r="89" ht="22.5" customHeight="1">
      <c r="A89" s="2">
        <v>46153.827106979166</v>
      </c>
      <c r="B89" s="3">
        <f t="shared" si="1"/>
        <v>0.7</v>
      </c>
      <c r="C89" s="4" t="s">
        <v>20</v>
      </c>
      <c r="D89" s="4" t="s">
        <v>16</v>
      </c>
      <c r="E89" s="4">
        <v>6.0</v>
      </c>
      <c r="F89" s="4" t="s">
        <v>17</v>
      </c>
      <c r="G89" s="4" t="s">
        <v>18</v>
      </c>
      <c r="H89" s="4" t="s">
        <v>17</v>
      </c>
      <c r="I89" s="4" t="s">
        <v>17</v>
      </c>
      <c r="J89" s="4" t="s">
        <v>17</v>
      </c>
      <c r="K89" s="4" t="s">
        <v>17</v>
      </c>
      <c r="L89" s="4" t="s">
        <v>17</v>
      </c>
      <c r="M89" s="4" t="s">
        <v>18</v>
      </c>
      <c r="N89" s="4" t="s">
        <v>18</v>
      </c>
      <c r="O89" s="4" t="s">
        <v>17</v>
      </c>
    </row>
    <row r="90" ht="22.5" customHeight="1">
      <c r="A90" s="2">
        <v>46153.82838276621</v>
      </c>
      <c r="B90" s="3">
        <f t="shared" si="1"/>
        <v>0.4</v>
      </c>
      <c r="C90" s="4" t="s">
        <v>20</v>
      </c>
      <c r="D90" s="4" t="s">
        <v>19</v>
      </c>
      <c r="E90" s="4">
        <v>5.0</v>
      </c>
      <c r="F90" s="4" t="s">
        <v>17</v>
      </c>
      <c r="G90" s="4" t="s">
        <v>18</v>
      </c>
      <c r="H90" s="4" t="s">
        <v>17</v>
      </c>
      <c r="I90" s="4" t="s">
        <v>18</v>
      </c>
      <c r="J90" s="4" t="s">
        <v>18</v>
      </c>
      <c r="K90" s="4" t="s">
        <v>18</v>
      </c>
      <c r="L90" s="4" t="s">
        <v>18</v>
      </c>
      <c r="M90" s="4" t="s">
        <v>17</v>
      </c>
      <c r="N90" s="4" t="s">
        <v>17</v>
      </c>
      <c r="O90" s="4" t="s">
        <v>18</v>
      </c>
    </row>
    <row r="91" ht="22.5" customHeight="1">
      <c r="A91" s="2">
        <v>46153.84321028936</v>
      </c>
      <c r="B91" s="3">
        <f t="shared" si="1"/>
        <v>0.3</v>
      </c>
      <c r="C91" s="4" t="s">
        <v>23</v>
      </c>
      <c r="D91" s="4" t="s">
        <v>16</v>
      </c>
      <c r="E91" s="4">
        <v>5.0</v>
      </c>
      <c r="F91" s="4" t="s">
        <v>18</v>
      </c>
      <c r="G91" s="4" t="s">
        <v>18</v>
      </c>
      <c r="H91" s="4" t="s">
        <v>17</v>
      </c>
      <c r="I91" s="4" t="s">
        <v>18</v>
      </c>
      <c r="J91" s="4" t="s">
        <v>18</v>
      </c>
      <c r="K91" s="4" t="s">
        <v>18</v>
      </c>
      <c r="L91" s="4" t="s">
        <v>17</v>
      </c>
      <c r="M91" s="4" t="s">
        <v>17</v>
      </c>
      <c r="N91" s="4" t="s">
        <v>18</v>
      </c>
      <c r="O91" s="4" t="s">
        <v>18</v>
      </c>
    </row>
    <row r="92" ht="22.5" customHeight="1">
      <c r="A92" s="2">
        <v>46153.84474423611</v>
      </c>
      <c r="B92" s="3">
        <f t="shared" si="1"/>
        <v>0.6</v>
      </c>
      <c r="C92" s="4" t="s">
        <v>23</v>
      </c>
      <c r="D92" s="4" t="s">
        <v>16</v>
      </c>
      <c r="E92" s="4">
        <v>2.0</v>
      </c>
      <c r="F92" s="4" t="s">
        <v>17</v>
      </c>
      <c r="G92" s="4" t="s">
        <v>18</v>
      </c>
      <c r="H92" s="4" t="s">
        <v>18</v>
      </c>
      <c r="I92" s="4" t="s">
        <v>18</v>
      </c>
      <c r="J92" s="4" t="s">
        <v>17</v>
      </c>
      <c r="K92" s="4" t="s">
        <v>17</v>
      </c>
      <c r="L92" s="4" t="s">
        <v>17</v>
      </c>
      <c r="M92" s="4" t="s">
        <v>17</v>
      </c>
      <c r="N92" s="4" t="s">
        <v>18</v>
      </c>
      <c r="O92" s="4" t="s">
        <v>17</v>
      </c>
    </row>
    <row r="93" ht="22.5" customHeight="1">
      <c r="A93" s="2">
        <v>46153.85582378472</v>
      </c>
      <c r="B93" s="3">
        <f t="shared" si="1"/>
        <v>0.5</v>
      </c>
      <c r="C93" s="4" t="s">
        <v>20</v>
      </c>
      <c r="D93" s="4" t="s">
        <v>16</v>
      </c>
      <c r="E93" s="4">
        <v>4.0</v>
      </c>
      <c r="F93" s="4" t="s">
        <v>17</v>
      </c>
      <c r="G93" s="4" t="s">
        <v>17</v>
      </c>
      <c r="H93" s="4" t="s">
        <v>17</v>
      </c>
      <c r="I93" s="4" t="s">
        <v>18</v>
      </c>
      <c r="J93" s="4" t="s">
        <v>18</v>
      </c>
      <c r="K93" s="4" t="s">
        <v>18</v>
      </c>
      <c r="L93" s="4" t="s">
        <v>18</v>
      </c>
      <c r="M93" s="4" t="s">
        <v>18</v>
      </c>
      <c r="N93" s="4" t="s">
        <v>17</v>
      </c>
      <c r="O93" s="4" t="s">
        <v>17</v>
      </c>
    </row>
    <row r="94" ht="22.5" customHeight="1">
      <c r="A94" s="2">
        <v>46153.85743787037</v>
      </c>
      <c r="B94" s="3">
        <f t="shared" si="1"/>
        <v>0.6</v>
      </c>
      <c r="C94" s="4" t="s">
        <v>23</v>
      </c>
      <c r="D94" s="4" t="s">
        <v>16</v>
      </c>
      <c r="E94" s="4">
        <v>5.0</v>
      </c>
      <c r="F94" s="4" t="s">
        <v>17</v>
      </c>
      <c r="G94" s="4" t="s">
        <v>17</v>
      </c>
      <c r="H94" s="4" t="s">
        <v>18</v>
      </c>
      <c r="I94" s="4" t="s">
        <v>18</v>
      </c>
      <c r="J94" s="4" t="s">
        <v>17</v>
      </c>
      <c r="K94" s="4" t="s">
        <v>17</v>
      </c>
      <c r="L94" s="4" t="s">
        <v>18</v>
      </c>
      <c r="M94" s="4" t="s">
        <v>18</v>
      </c>
      <c r="N94" s="4" t="s">
        <v>17</v>
      </c>
      <c r="O94" s="4" t="s">
        <v>17</v>
      </c>
    </row>
    <row r="95" ht="22.5" customHeight="1">
      <c r="A95" s="2">
        <v>46153.911958564815</v>
      </c>
      <c r="B95" s="3">
        <f t="shared" si="1"/>
        <v>0.6</v>
      </c>
      <c r="C95" s="4" t="s">
        <v>15</v>
      </c>
      <c r="D95" s="4" t="s">
        <v>19</v>
      </c>
      <c r="E95" s="4">
        <v>3.0</v>
      </c>
      <c r="F95" s="4" t="s">
        <v>17</v>
      </c>
      <c r="G95" s="4" t="s">
        <v>17</v>
      </c>
      <c r="H95" s="4" t="s">
        <v>17</v>
      </c>
      <c r="I95" s="4" t="s">
        <v>18</v>
      </c>
      <c r="J95" s="4" t="s">
        <v>17</v>
      </c>
      <c r="K95" s="4" t="s">
        <v>18</v>
      </c>
      <c r="L95" s="4" t="s">
        <v>18</v>
      </c>
      <c r="M95" s="4" t="s">
        <v>17</v>
      </c>
      <c r="N95" s="4" t="s">
        <v>18</v>
      </c>
      <c r="O95" s="4" t="s">
        <v>17</v>
      </c>
    </row>
    <row r="96" ht="22.5" customHeight="1">
      <c r="A96" s="2">
        <v>46153.923781562495</v>
      </c>
      <c r="B96" s="3">
        <f t="shared" si="1"/>
        <v>0.6</v>
      </c>
      <c r="C96" s="4" t="s">
        <v>15</v>
      </c>
      <c r="D96" s="4" t="s">
        <v>16</v>
      </c>
      <c r="E96" s="4">
        <v>7.0</v>
      </c>
      <c r="F96" s="4" t="s">
        <v>18</v>
      </c>
      <c r="G96" s="4" t="s">
        <v>17</v>
      </c>
      <c r="H96" s="4" t="s">
        <v>17</v>
      </c>
      <c r="I96" s="4" t="s">
        <v>18</v>
      </c>
      <c r="J96" s="4" t="s">
        <v>18</v>
      </c>
      <c r="K96" s="4" t="s">
        <v>17</v>
      </c>
      <c r="L96" s="4" t="s">
        <v>18</v>
      </c>
      <c r="M96" s="4" t="s">
        <v>17</v>
      </c>
      <c r="N96" s="4" t="s">
        <v>17</v>
      </c>
      <c r="O96" s="4" t="s">
        <v>17</v>
      </c>
    </row>
    <row r="97" ht="22.5" customHeight="1">
      <c r="A97" s="2">
        <v>46154.35673983797</v>
      </c>
      <c r="B97" s="3">
        <f t="shared" si="1"/>
        <v>0.8</v>
      </c>
      <c r="C97" s="4" t="s">
        <v>15</v>
      </c>
      <c r="D97" s="4" t="s">
        <v>19</v>
      </c>
      <c r="E97" s="4">
        <v>5.0</v>
      </c>
      <c r="F97" s="4" t="s">
        <v>18</v>
      </c>
      <c r="G97" s="4" t="s">
        <v>18</v>
      </c>
      <c r="H97" s="4" t="s">
        <v>17</v>
      </c>
      <c r="I97" s="4" t="s">
        <v>17</v>
      </c>
      <c r="J97" s="4" t="s">
        <v>17</v>
      </c>
      <c r="K97" s="4" t="s">
        <v>17</v>
      </c>
      <c r="L97" s="4" t="s">
        <v>17</v>
      </c>
      <c r="M97" s="4" t="s">
        <v>17</v>
      </c>
      <c r="N97" s="4" t="s">
        <v>17</v>
      </c>
      <c r="O97" s="4" t="s">
        <v>17</v>
      </c>
    </row>
    <row r="98" ht="22.5" customHeight="1">
      <c r="A98" s="2">
        <v>46154.50754484953</v>
      </c>
      <c r="B98" s="3">
        <f t="shared" si="1"/>
        <v>0.6</v>
      </c>
      <c r="C98" s="4" t="s">
        <v>25</v>
      </c>
      <c r="D98" s="4" t="s">
        <v>19</v>
      </c>
      <c r="E98" s="4">
        <v>4.0</v>
      </c>
      <c r="F98" s="4" t="s">
        <v>17</v>
      </c>
      <c r="G98" s="4" t="s">
        <v>17</v>
      </c>
      <c r="H98" s="4" t="s">
        <v>18</v>
      </c>
      <c r="I98" s="4" t="s">
        <v>17</v>
      </c>
      <c r="J98" s="4" t="s">
        <v>18</v>
      </c>
      <c r="K98" s="4" t="s">
        <v>17</v>
      </c>
      <c r="L98" s="4" t="s">
        <v>17</v>
      </c>
      <c r="M98" s="4" t="s">
        <v>17</v>
      </c>
      <c r="N98" s="4" t="s">
        <v>18</v>
      </c>
      <c r="O98" s="4" t="s">
        <v>18</v>
      </c>
    </row>
    <row r="99" ht="22.5" customHeight="1">
      <c r="A99" s="2">
        <v>46154.61487829861</v>
      </c>
      <c r="B99" s="3">
        <f t="shared" si="1"/>
        <v>0.5</v>
      </c>
      <c r="C99" s="4" t="s">
        <v>15</v>
      </c>
      <c r="D99" s="4" t="s">
        <v>19</v>
      </c>
      <c r="E99" s="4">
        <v>5.0</v>
      </c>
      <c r="F99" s="4" t="s">
        <v>18</v>
      </c>
      <c r="G99" s="4" t="s">
        <v>18</v>
      </c>
      <c r="H99" s="4" t="s">
        <v>17</v>
      </c>
      <c r="I99" s="4" t="s">
        <v>18</v>
      </c>
      <c r="J99" s="4" t="s">
        <v>17</v>
      </c>
      <c r="K99" s="4" t="s">
        <v>18</v>
      </c>
      <c r="L99" s="4" t="s">
        <v>17</v>
      </c>
      <c r="M99" s="4" t="s">
        <v>17</v>
      </c>
      <c r="N99" s="4" t="s">
        <v>18</v>
      </c>
      <c r="O99" s="4" t="s">
        <v>17</v>
      </c>
    </row>
    <row r="100" ht="22.5" customHeight="1">
      <c r="A100" s="2">
        <v>46154.80200974537</v>
      </c>
      <c r="B100" s="3">
        <f t="shared" si="1"/>
        <v>0.6</v>
      </c>
      <c r="C100" s="4" t="s">
        <v>15</v>
      </c>
      <c r="D100" s="4" t="s">
        <v>19</v>
      </c>
      <c r="E100" s="4">
        <v>3.0</v>
      </c>
      <c r="F100" s="4" t="s">
        <v>17</v>
      </c>
      <c r="G100" s="4" t="s">
        <v>18</v>
      </c>
      <c r="H100" s="4" t="s">
        <v>18</v>
      </c>
      <c r="I100" s="4" t="s">
        <v>18</v>
      </c>
      <c r="J100" s="4" t="s">
        <v>17</v>
      </c>
      <c r="K100" s="4" t="s">
        <v>17</v>
      </c>
      <c r="L100" s="4" t="s">
        <v>17</v>
      </c>
      <c r="M100" s="4" t="s">
        <v>17</v>
      </c>
      <c r="N100" s="4" t="s">
        <v>18</v>
      </c>
      <c r="O100" s="4" t="s">
        <v>17</v>
      </c>
    </row>
    <row r="101" ht="22.5" customHeight="1">
      <c r="A101" s="6">
        <v>46157.531962071764</v>
      </c>
      <c r="B101" s="7">
        <v>0.0</v>
      </c>
      <c r="C101" s="8" t="s">
        <v>15</v>
      </c>
      <c r="D101" s="8" t="s">
        <v>16</v>
      </c>
      <c r="E101" s="8">
        <v>6.0</v>
      </c>
      <c r="F101" s="8" t="s">
        <v>26</v>
      </c>
      <c r="G101" s="8" t="s">
        <v>27</v>
      </c>
      <c r="H101" s="8" t="s">
        <v>28</v>
      </c>
      <c r="I101" s="8" t="s">
        <v>29</v>
      </c>
      <c r="J101" s="8" t="s">
        <v>30</v>
      </c>
      <c r="K101" s="8" t="s">
        <v>31</v>
      </c>
      <c r="L101" s="8" t="s">
        <v>32</v>
      </c>
      <c r="M101" s="8" t="s">
        <v>33</v>
      </c>
      <c r="N101" s="8" t="s">
        <v>34</v>
      </c>
      <c r="O101" s="8" t="s">
        <v>35</v>
      </c>
    </row>
    <row r="102" ht="22.5" customHeight="1">
      <c r="A102" s="6">
        <v>46157.70113202547</v>
      </c>
      <c r="B102" s="7">
        <v>0.0</v>
      </c>
      <c r="C102" s="8" t="s">
        <v>15</v>
      </c>
      <c r="D102" s="8" t="s">
        <v>16</v>
      </c>
      <c r="E102" s="8">
        <v>5.0</v>
      </c>
      <c r="F102" s="8" t="s">
        <v>26</v>
      </c>
      <c r="G102" s="8" t="s">
        <v>36</v>
      </c>
      <c r="H102" s="8" t="s">
        <v>28</v>
      </c>
      <c r="I102" s="8" t="s">
        <v>29</v>
      </c>
      <c r="J102" s="8" t="s">
        <v>30</v>
      </c>
      <c r="K102" s="8" t="s">
        <v>37</v>
      </c>
      <c r="L102" s="8" t="s">
        <v>32</v>
      </c>
      <c r="M102" s="8" t="s">
        <v>33</v>
      </c>
      <c r="N102" s="8" t="s">
        <v>34</v>
      </c>
      <c r="O102" s="8" t="s">
        <v>35</v>
      </c>
    </row>
    <row r="103" ht="22.5" customHeight="1">
      <c r="A103" s="6">
        <v>46177.028121192125</v>
      </c>
      <c r="B103" s="7">
        <v>0.0</v>
      </c>
      <c r="C103" s="8" t="s">
        <v>21</v>
      </c>
      <c r="D103" s="8" t="s">
        <v>16</v>
      </c>
      <c r="E103" s="8">
        <v>6.0</v>
      </c>
      <c r="F103" s="8" t="s">
        <v>26</v>
      </c>
      <c r="G103" s="8" t="s">
        <v>27</v>
      </c>
      <c r="H103" s="8" t="s">
        <v>28</v>
      </c>
      <c r="I103" s="8" t="s">
        <v>38</v>
      </c>
      <c r="J103" s="8" t="s">
        <v>30</v>
      </c>
      <c r="K103" s="8" t="s">
        <v>31</v>
      </c>
      <c r="L103" s="8" t="s">
        <v>32</v>
      </c>
      <c r="M103" s="8" t="s">
        <v>39</v>
      </c>
      <c r="N103" s="8" t="s">
        <v>40</v>
      </c>
      <c r="O103" s="8" t="s">
        <v>35</v>
      </c>
    </row>
    <row r="105">
      <c r="A105" s="9" t="s">
        <v>41</v>
      </c>
      <c r="B105" s="10">
        <f>AVERAGE(B2:B100)</f>
        <v>0.5373737374</v>
      </c>
      <c r="C105" s="11"/>
    </row>
    <row r="106">
      <c r="A106" s="9" t="s">
        <v>42</v>
      </c>
      <c r="B106" s="10">
        <f>AVERAGEIF(D2:D100, "Yes", B2:B100)</f>
        <v>0.5351851852</v>
      </c>
    </row>
    <row r="107">
      <c r="A107" s="9" t="s">
        <v>43</v>
      </c>
      <c r="B107" s="10">
        <f>AVERAGEIF(D2:D100, "No", B2:B100)</f>
        <v>0.5386363636</v>
      </c>
    </row>
    <row r="109">
      <c r="A109" s="9" t="str">
        <f>IFERROR(__xludf.DUMMYFUNCTION("QUERY(A2:D100, ""SELECT C, COUNT(A), AVG(B) WHERE C IS NOT NULL GROUP BY C LABEL C 'Age Group', COUNT(A) 'Count', AVG(B) 'Average Score'"", 0)"),"Age Group")</f>
        <v>Age Group</v>
      </c>
      <c r="B109" s="9" t="str">
        <f>IFERROR(__xludf.DUMMYFUNCTION("""COMPUTED_VALUE"""),"Count")</f>
        <v>Count</v>
      </c>
      <c r="C109" s="9" t="str">
        <f>IFERROR(__xludf.DUMMYFUNCTION("""COMPUTED_VALUE"""),"Average Score")</f>
        <v>Average Score</v>
      </c>
    </row>
    <row r="110">
      <c r="A110" s="12" t="str">
        <f>IFERROR(__xludf.DUMMYFUNCTION("""COMPUTED_VALUE"""),"18-24")</f>
        <v>18-24</v>
      </c>
      <c r="B110" s="12">
        <f>IFERROR(__xludf.DUMMYFUNCTION("""COMPUTED_VALUE"""),68.0)</f>
        <v>68</v>
      </c>
      <c r="C110" s="10">
        <f>IFERROR(__xludf.DUMMYFUNCTION("""COMPUTED_VALUE"""),0.5426470588235293)</f>
        <v>0.5426470588</v>
      </c>
    </row>
    <row r="111">
      <c r="A111" s="12" t="str">
        <f>IFERROR(__xludf.DUMMYFUNCTION("""COMPUTED_VALUE"""),"25-34")</f>
        <v>25-34</v>
      </c>
      <c r="B111" s="12">
        <f>IFERROR(__xludf.DUMMYFUNCTION("""COMPUTED_VALUE"""),9.0)</f>
        <v>9</v>
      </c>
      <c r="C111" s="10">
        <f>IFERROR(__xludf.DUMMYFUNCTION("""COMPUTED_VALUE"""),0.48888888888888904)</f>
        <v>0.4888888889</v>
      </c>
    </row>
    <row r="112">
      <c r="A112" s="12" t="str">
        <f>IFERROR(__xludf.DUMMYFUNCTION("""COMPUTED_VALUE"""),"35-44")</f>
        <v>35-44</v>
      </c>
      <c r="B112" s="12">
        <f>IFERROR(__xludf.DUMMYFUNCTION("""COMPUTED_VALUE"""),6.0)</f>
        <v>6</v>
      </c>
      <c r="C112" s="10">
        <f>IFERROR(__xludf.DUMMYFUNCTION("""COMPUTED_VALUE"""),0.5666666666666667)</f>
        <v>0.5666666667</v>
      </c>
    </row>
    <row r="113">
      <c r="A113" s="12" t="str">
        <f>IFERROR(__xludf.DUMMYFUNCTION("""COMPUTED_VALUE"""),"45-54")</f>
        <v>45-54</v>
      </c>
      <c r="B113" s="12">
        <f>IFERROR(__xludf.DUMMYFUNCTION("""COMPUTED_VALUE"""),7.0)</f>
        <v>7</v>
      </c>
      <c r="C113" s="10">
        <f>IFERROR(__xludf.DUMMYFUNCTION("""COMPUTED_VALUE"""),0.4857142857142857)</f>
        <v>0.4857142857</v>
      </c>
    </row>
    <row r="114">
      <c r="A114" s="12" t="str">
        <f>IFERROR(__xludf.DUMMYFUNCTION("""COMPUTED_VALUE"""),"55-64")</f>
        <v>55-64</v>
      </c>
      <c r="B114" s="12">
        <f>IFERROR(__xludf.DUMMYFUNCTION("""COMPUTED_VALUE"""),2.0)</f>
        <v>2</v>
      </c>
      <c r="C114" s="10">
        <f>IFERROR(__xludf.DUMMYFUNCTION("""COMPUTED_VALUE"""),0.6)</f>
        <v>0.6</v>
      </c>
    </row>
    <row r="115">
      <c r="A115" s="12" t="str">
        <f>IFERROR(__xludf.DUMMYFUNCTION("""COMPUTED_VALUE"""),"65+")</f>
        <v>65+</v>
      </c>
      <c r="B115" s="12">
        <f>IFERROR(__xludf.DUMMYFUNCTION("""COMPUTED_VALUE"""),1.0)</f>
        <v>1</v>
      </c>
      <c r="C115" s="10">
        <f>IFERROR(__xludf.DUMMYFUNCTION("""COMPUTED_VALUE"""),0.4)</f>
        <v>0.4</v>
      </c>
    </row>
    <row r="116">
      <c r="A116" s="12" t="str">
        <f>IFERROR(__xludf.DUMMYFUNCTION("""COMPUTED_VALUE"""),"Under 18")</f>
        <v>Under 18</v>
      </c>
      <c r="B116" s="12">
        <f>IFERROR(__xludf.DUMMYFUNCTION("""COMPUTED_VALUE"""),5.0)</f>
        <v>5</v>
      </c>
      <c r="C116" s="10">
        <f>IFERROR(__xludf.DUMMYFUNCTION("""COMPUTED_VALUE"""),0.5800000000000001)</f>
        <v>0.58</v>
      </c>
    </row>
    <row r="117">
      <c r="C117" s="10"/>
    </row>
    <row r="118">
      <c r="A118" s="9" t="s">
        <v>44</v>
      </c>
      <c r="B118" s="9" t="s">
        <v>45</v>
      </c>
      <c r="C118" s="10"/>
    </row>
    <row r="119">
      <c r="A119" s="12" t="s">
        <v>46</v>
      </c>
      <c r="B119" s="13">
        <f>COUNTIF(F$2:F$100, "correct")/COUNTA(F$2:F$100)</f>
        <v>0.4795918367</v>
      </c>
    </row>
    <row r="120">
      <c r="A120" s="12" t="s">
        <v>47</v>
      </c>
      <c r="B120" s="13">
        <f>COUNTIF(G$2:G$100, "correct")/COUNTA(G$2:G$100)</f>
        <v>0.3939393939</v>
      </c>
    </row>
    <row r="121">
      <c r="A121" s="12" t="s">
        <v>48</v>
      </c>
      <c r="B121" s="13">
        <f>COUNTIF(H$2:H$100, "correct")/COUNTA(H$2:H$100)</f>
        <v>0.4693877551</v>
      </c>
    </row>
    <row r="122">
      <c r="A122" s="12" t="s">
        <v>49</v>
      </c>
      <c r="B122" s="13">
        <f>COUNTIF(I$2:I$100, "correct")/COUNTA(I$2:I$100)</f>
        <v>0.3535353535</v>
      </c>
    </row>
    <row r="123">
      <c r="A123" s="12" t="s">
        <v>50</v>
      </c>
      <c r="B123" s="13">
        <f>COUNTIF(J$2:J$100, "correct")/COUNTA(J$2:J$100)</f>
        <v>0.6464646465</v>
      </c>
    </row>
    <row r="124">
      <c r="A124" s="12" t="s">
        <v>51</v>
      </c>
      <c r="B124" s="13">
        <f>COUNTIF(K$2:K$100, "correct")/COUNTA(K$2:K$100)</f>
        <v>0.4545454545</v>
      </c>
    </row>
    <row r="125">
      <c r="A125" s="12" t="s">
        <v>52</v>
      </c>
      <c r="B125" s="13">
        <f>COUNTIF(L$2:L$100, "correct")/COUNTA(L$2:L$100)</f>
        <v>0.6565656566</v>
      </c>
    </row>
    <row r="126">
      <c r="A126" s="12" t="s">
        <v>53</v>
      </c>
      <c r="B126" s="13">
        <f>COUNTIF(M$2:M$100, "correct")/COUNTA(M$2:M$100)</f>
        <v>0.7676767677</v>
      </c>
    </row>
    <row r="127">
      <c r="A127" s="12" t="s">
        <v>54</v>
      </c>
      <c r="B127" s="13">
        <f>COUNTIF(N$2:N$100, "correct")/COUNTA(N$2:N$100)</f>
        <v>0.4343434343</v>
      </c>
    </row>
    <row r="128">
      <c r="A128" s="12" t="s">
        <v>55</v>
      </c>
      <c r="B128" s="13">
        <f>COUNTIF(O$2:O$100, "correct")/COUNTA(O$2:O$100)</f>
        <v>0.7272727273</v>
      </c>
    </row>
    <row r="130">
      <c r="A130" s="9" t="s">
        <v>56</v>
      </c>
      <c r="B130" s="9" t="s">
        <v>57</v>
      </c>
      <c r="C130" s="9" t="s">
        <v>45</v>
      </c>
    </row>
    <row r="131">
      <c r="A131" s="12">
        <f>IFERROR(__xludf.DUMMYFUNCTION("QUERY(A2:O100, ""SELECT E, COUNT(A), AVG(B) WHERE E IS NOT NULL GROUP BY E ORDER BY E LABEL E '', COUNT(A) '', AVG(B) ''"")"),1.0)</f>
        <v>1</v>
      </c>
      <c r="B131" s="12">
        <f>IFERROR(__xludf.DUMMYFUNCTION("""COMPUTED_VALUE"""),3.0)</f>
        <v>3</v>
      </c>
      <c r="C131" s="13">
        <f>IFERROR(__xludf.DUMMYFUNCTION("""COMPUTED_VALUE"""),0.5666666666666667)</f>
        <v>0.5666666667</v>
      </c>
    </row>
    <row r="132">
      <c r="A132" s="12">
        <f>IFERROR(__xludf.DUMMYFUNCTION("""COMPUTED_VALUE"""),2.0)</f>
        <v>2</v>
      </c>
      <c r="B132" s="12">
        <f>IFERROR(__xludf.DUMMYFUNCTION("""COMPUTED_VALUE"""),8.0)</f>
        <v>8</v>
      </c>
      <c r="C132" s="13">
        <f>IFERROR(__xludf.DUMMYFUNCTION("""COMPUTED_VALUE"""),0.5125)</f>
        <v>0.5125</v>
      </c>
    </row>
    <row r="133">
      <c r="A133" s="12">
        <f>IFERROR(__xludf.DUMMYFUNCTION("""COMPUTED_VALUE"""),3.0)</f>
        <v>3</v>
      </c>
      <c r="B133" s="12">
        <f>IFERROR(__xludf.DUMMYFUNCTION("""COMPUTED_VALUE"""),10.0)</f>
        <v>10</v>
      </c>
      <c r="C133" s="13">
        <f>IFERROR(__xludf.DUMMYFUNCTION("""COMPUTED_VALUE"""),0.57)</f>
        <v>0.57</v>
      </c>
    </row>
    <row r="134">
      <c r="A134" s="12">
        <f>IFERROR(__xludf.DUMMYFUNCTION("""COMPUTED_VALUE"""),4.0)</f>
        <v>4</v>
      </c>
      <c r="B134" s="12">
        <f>IFERROR(__xludf.DUMMYFUNCTION("""COMPUTED_VALUE"""),27.0)</f>
        <v>27</v>
      </c>
      <c r="C134" s="13">
        <f>IFERROR(__xludf.DUMMYFUNCTION("""COMPUTED_VALUE"""),0.5481481481481482)</f>
        <v>0.5481481481</v>
      </c>
    </row>
    <row r="135">
      <c r="A135" s="12">
        <f>IFERROR(__xludf.DUMMYFUNCTION("""COMPUTED_VALUE"""),5.0)</f>
        <v>5</v>
      </c>
      <c r="B135" s="12">
        <f>IFERROR(__xludf.DUMMYFUNCTION("""COMPUTED_VALUE"""),37.0)</f>
        <v>37</v>
      </c>
      <c r="C135" s="13">
        <f>IFERROR(__xludf.DUMMYFUNCTION("""COMPUTED_VALUE"""),0.518918918918919)</f>
        <v>0.5189189189</v>
      </c>
    </row>
    <row r="136">
      <c r="A136" s="12">
        <f>IFERROR(__xludf.DUMMYFUNCTION("""COMPUTED_VALUE"""),6.0)</f>
        <v>6</v>
      </c>
      <c r="B136" s="12">
        <f>IFERROR(__xludf.DUMMYFUNCTION("""COMPUTED_VALUE"""),9.0)</f>
        <v>9</v>
      </c>
      <c r="C136" s="13">
        <f>IFERROR(__xludf.DUMMYFUNCTION("""COMPUTED_VALUE"""),0.5444444444444445)</f>
        <v>0.5444444444</v>
      </c>
    </row>
    <row r="137">
      <c r="A137" s="12">
        <f>IFERROR(__xludf.DUMMYFUNCTION("""COMPUTED_VALUE"""),7.0)</f>
        <v>7</v>
      </c>
      <c r="B137" s="12">
        <f>IFERROR(__xludf.DUMMYFUNCTION("""COMPUTED_VALUE"""),3.0)</f>
        <v>3</v>
      </c>
      <c r="C137" s="13">
        <f>IFERROR(__xludf.DUMMYFUNCTION("""COMPUTED_VALUE"""),0.6333333333333333)</f>
        <v>0.6333333333</v>
      </c>
    </row>
    <row r="138">
      <c r="C138" s="13"/>
    </row>
    <row r="139">
      <c r="C139" s="13"/>
    </row>
    <row r="140">
      <c r="C140" s="13"/>
    </row>
    <row r="141">
      <c r="C141" s="13"/>
    </row>
    <row r="142">
      <c r="C142" s="13"/>
    </row>
    <row r="143">
      <c r="C143" s="13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